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fan\ipl-cricket_analytics\reports\"/>
    </mc:Choice>
  </mc:AlternateContent>
  <xr:revisionPtr revIDLastSave="0" documentId="13_ncr:1_{418B01D7-A643-4867-BDF8-704A0C4D76C8}" xr6:coauthVersionLast="47" xr6:coauthVersionMax="47" xr10:uidLastSave="{00000000-0000-0000-0000-000000000000}"/>
  <bookViews>
    <workbookView xWindow="-108" yWindow="-108" windowWidth="23256" windowHeight="12456" tabRatio="500" firstSheet="1" activeTab="2"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<sst xmlns="http://schemas.openxmlformats.org/spreadsheetml/2006/main" count="803" uniqueCount="400">
  <si>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</si>
  <si>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</si>
  <si>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</si>
  <si>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</si>
  <si>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</si>
  <si>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</si>
  <si>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</si>
  <si>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</si>
  <si>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</si>
  <si>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</si>
  <si>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</si>
  <si>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</si>
  <si>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</si>
  <si>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</si>
  <si>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</si>
  <si>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</si>
  <si>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</si>
  <si>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</si>
  <si>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</si>
  <si>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</si>
  <si>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</si>
  <si>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</si>
  <si>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</si>
  <si>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</si>
  <si>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</si>
  <si>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</si>
  <si>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</si>
  <si>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</si>
  <si>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</si>
  <si>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</si>
  <si>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</si>
  <si>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</si>
  <si>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</si>
  <si>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</si>
  <si>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</si>
  <si>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</si>
  <si>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</si>
  <si>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</si>
  <si>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</si>
  <si>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</si>
  <si>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</si>
  <si>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</si>
  <si>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</si>
  <si>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</si>
  <si>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</si>
  <si>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</si>
  <si>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</si>
  <si>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</si>
  <si>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</si>
  <si>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</si>
  <si>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</si>
  <si>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Data Analysis Dataset</t>
  </si>
  <si>
    <t>Trainee name</t>
  </si>
  <si>
    <t>Date prepared</t>
  </si>
  <si>
    <t>19-08-2026</t>
  </si>
  <si>
    <t>Dataset source</t>
  </si>
  <si>
    <t>Provided CSV files</t>
  </si>
  <si>
    <t>Business domain</t>
  </si>
  <si>
    <t>IPL matches, deliveries, players, teams and venues.</t>
  </si>
  <si>
    <t>Business context — why this data matters</t>
  </si>
  <si>
    <t>Complete structural and data-quality documentation.</t>
  </si>
  <si>
    <t>Total files/tables in this dataset</t>
  </si>
  <si>
    <t>[Count]</t>
  </si>
  <si>
    <t>Total approximate size (all files combined)</t>
  </si>
  <si>
    <t>[e.g. 25 MB]</t>
  </si>
  <si>
    <t>Complete dictionary — every column from every supplied CSV is included.</t>
  </si>
  <si>
    <t>FILE / TABLE NAME</t>
  </si>
  <si>
    <t>FILE DESCRIPTION</t>
  </si>
  <si>
    <t>IPL cricket dataset: 288,226 rows, 32 columns.</t>
  </si>
  <si>
    <t>FILE STATS</t>
  </si>
  <si>
    <t>Format</t>
  </si>
  <si>
    <t>File Size</t>
  </si>
  <si>
    <t>Sampling used?</t>
  </si>
  <si>
    <t>CSV</t>
  </si>
  <si>
    <t>44.44 MB</t>
  </si>
  <si>
    <t>No — full file inspected.</t>
  </si>
  <si>
    <t>SHEET NAME</t>
  </si>
  <si>
    <t>deliveries</t>
  </si>
  <si>
    <t>SHEET DESCRIPTION</t>
  </si>
  <si>
    <t>Complete field-level dictionary for deliveries.csv.</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</si>
  <si>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</si>
  <si>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</si>
  <si>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</si>
  <si>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</si>
  <si>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</si>
  <si>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</si>
  <si>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</si>
  <si>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</si>
  <si>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</si>
  <si>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</si>
  <si>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</si>
  <si>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</si>
  <si>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</si>
  <si>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</si>
  <si>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</si>
  <si>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</si>
  <si>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</si>
  <si>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</si>
  <si>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</si>
  <si>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</si>
  <si>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</si>
  <si>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</si>
  <si>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</si>
  <si>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</si>
  <si>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</si>
  <si>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</si>
  <si>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</si>
  <si>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</si>
  <si>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</si>
  <si>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</si>
  <si>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</si>
  <si>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</si>
  <si>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</si>
  <si>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</si>
  <si>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</si>
  <si>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</si>
  <si>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</si>
  <si>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Field containing season id information.</t>
  </si>
  <si>
    <t>Field containing match id information.</t>
  </si>
  <si>
    <t>Field containing batter information.</t>
  </si>
  <si>
    <t>Field containing bowler information.</t>
  </si>
  <si>
    <t>Field containing non striker information.</t>
  </si>
  <si>
    <t>Field containing over number information.</t>
  </si>
  <si>
    <t>Field containing ball number information.</t>
  </si>
  <si>
    <t>Field containing batter runs information.</t>
  </si>
  <si>
    <t>Field containing extras information.</t>
  </si>
  <si>
    <t>Field containing total runs information.</t>
  </si>
  <si>
    <t>Field containing batsman type information.</t>
  </si>
  <si>
    <t>Field containing bowler type information.</t>
  </si>
  <si>
    <t>Field containing player out information.</t>
  </si>
  <si>
    <t>Field containing fielders involved information.</t>
  </si>
  <si>
    <t>Field containing is wicket information.</t>
  </si>
  <si>
    <t>Field containing is wide ball information.</t>
  </si>
  <si>
    <t>Field containing is no ball information.</t>
  </si>
  <si>
    <t>Field containing is leg bye information.</t>
  </si>
  <si>
    <t>Field containing is bye information.</t>
  </si>
  <si>
    <t>Field containing is penalty information.</t>
  </si>
  <si>
    <t>Field containing wide ball runs information.</t>
  </si>
  <si>
    <t>Field containing no ball runs information.</t>
  </si>
  <si>
    <t>Field containing leg bye runs information.</t>
  </si>
  <si>
    <t>Field containing bye runs information.</t>
  </si>
  <si>
    <t>Field containing penalty runs information.</t>
  </si>
  <si>
    <t>Field containing wicket kind information.</t>
  </si>
  <si>
    <t>Field containing is super over information.</t>
  </si>
  <si>
    <t>Field containing innings information.</t>
  </si>
  <si>
    <t>Field containing batting team id information.</t>
  </si>
  <si>
    <t>Field containing bowling team id information.</t>
  </si>
  <si>
    <t>Field containing batting team information.</t>
  </si>
  <si>
    <t>Field containing bowling team information.</t>
  </si>
  <si>
    <t>Data Type</t>
  </si>
  <si>
    <t>Integer</t>
  </si>
  <si>
    <t>Text</t>
  </si>
  <si>
    <t>Key Type</t>
  </si>
  <si>
    <t>Foreign Key</t>
  </si>
  <si>
    <t>None</t>
  </si>
  <si>
    <t>Sample Values</t>
  </si>
  <si>
    <t>2008, 2008, 2008</t>
  </si>
  <si>
    <t>335982, 335982, 335982</t>
  </si>
  <si>
    <t>SC Ganguly, BB McCullum, BB McCullum</t>
  </si>
  <si>
    <t>P Kumar, P Kumar, P Kumar</t>
  </si>
  <si>
    <t>BB McCullum, SC Ganguly, SC Ganguly</t>
  </si>
  <si>
    <t>0, 0, 0</t>
  </si>
  <si>
    <t>0, 1, 2</t>
  </si>
  <si>
    <t>1, 0, 1</t>
  </si>
  <si>
    <t>Left hand Bat, Right hand Bat, Right hand Bat</t>
  </si>
  <si>
    <t>Right arm Medium, Right arm Medium, Right arm Medium</t>
  </si>
  <si>
    <t>SC Ganguly, RT Ponting, DJ Hussey</t>
  </si>
  <si>
    <t>['JH Kallis'], ['P Kumar'], ['CL White']</t>
  </si>
  <si>
    <t>0, 0, 1</t>
  </si>
  <si>
    <t>1, 0, 0</t>
  </si>
  <si>
    <t>caught, caught, caught</t>
  </si>
  <si>
    <t>1, 1, 1</t>
  </si>
  <si>
    <t>6, 6, 6</t>
  </si>
  <si>
    <t>Kolkata Knight Riders, Kolkata Knight Riders, Kolkata Knight Riders</t>
  </si>
  <si>
    <t>Royal Challengers Bangalore, Royal Challengers Bangalore, Royal Challengers Bangalore</t>
  </si>
  <si>
    <t>Distinct Count</t>
  </si>
  <si>
    <t>Unique Values (if ≤20)</t>
  </si>
  <si>
    <t>2008, 2017, 2018, 2019, 2020, 2021, 2022, 2023, 2024, 2025, 2012, 2009, 2010, 2011, 2015, 2013, 2014, 2016, 2026</t>
  </si>
  <si>
    <t>—</t>
  </si>
  <si>
    <t>0, 1, 2, 3, 4, 5, 6, 7, 8, 9, 10, 11, 12, 13, 14, 15, 16, 17, 18, 19</t>
  </si>
  <si>
    <t>0, 1, 2, 3, 4, 5, 6, 7, 8, 9, 10</t>
  </si>
  <si>
    <t>0, 4, 6, 1, 2, 3, 5</t>
  </si>
  <si>
    <t>1, 0, 5, 4, 2, 3, 7</t>
  </si>
  <si>
    <t>1, 0, 4, 6, 5, 2, 3, 7</t>
  </si>
  <si>
    <t>Left hand Bat, Right hand Bat</t>
  </si>
  <si>
    <t>0, 1</t>
  </si>
  <si>
    <t>1, 0</t>
  </si>
  <si>
    <t>0, 1, 5, 2, 3, 4</t>
  </si>
  <si>
    <t>0, 1, 2, 5, 3</t>
  </si>
  <si>
    <t>1, 0, 4, 2, 5, 3</t>
  </si>
  <si>
    <t>0, 4, 1, 2, 3</t>
  </si>
  <si>
    <t>0, 5</t>
  </si>
  <si>
    <t>caught, bowled, run out, lbw, caught and bowled, stumped, retired hurt, hit wicket, obstructing the field, retired out</t>
  </si>
  <si>
    <t>1, 2, 3, 4, 5, 6</t>
  </si>
  <si>
    <t>6, 1, 2, 5, 3, 4, 494, 252, 129, 134, 614, 615, 1414, 1419</t>
  </si>
  <si>
    <t>1, 6, 2, 4, 3, 5, 494, 252, 129, 134, 615, 614, 1414, 1419</t>
  </si>
  <si>
    <t>Kolkata Knight Riders, Royal Challengers Bangalore, Sunrisers Hyderabad, Gujarat Lions, Mumbai Indians, Rising Pune Supergiant, Punjab Kings, Delhi Capitals, Chennai Super Kings, Rajasthan Royals, Lucknow Super Giants, Gujarat Titans, Kochi Tuskers Kerala, Pune Warriors</t>
  </si>
  <si>
    <t>Royal Challengers Bangalore, Kolkata Knight Riders, Sunrisers Hyderabad, Rising Pune Supergiant, Mumbai Indians, Gujarat Lions, Punjab Kings, Delhi Capitals, Chennai Super Kings, Rajasthan Royals, Gujarat Titans, Lucknow Super Giants, Kochi Tuskers Kerala, Pune Warriors</t>
  </si>
  <si>
    <t>% Missing</t>
  </si>
  <si>
    <t>0.00%</t>
  </si>
  <si>
    <t>0.08%</t>
  </si>
  <si>
    <t>0.12%</t>
  </si>
  <si>
    <t>95.02%</t>
  </si>
  <si>
    <t>Data Quality Notes</t>
  </si>
  <si>
    <t>No obvious issue from basic profiling.</t>
  </si>
  <si>
    <t>0.08% missing</t>
  </si>
  <si>
    <t>0.12% missing</t>
  </si>
  <si>
    <t>95.02% missing</t>
  </si>
  <si>
    <t>matches.csv</t>
  </si>
  <si>
    <t>IPL cricket dataset: 1,212 rows, 28 columns.</t>
  </si>
  <si>
    <t>0.27 MB</t>
  </si>
  <si>
    <t>matches</t>
  </si>
  <si>
    <t>Complete field-level dictionary for matches.csv.</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</si>
  <si>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</si>
  <si>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</si>
  <si>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</si>
  <si>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</si>
  <si>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</si>
  <si>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</si>
  <si>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</si>
  <si>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</si>
  <si>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</si>
  <si>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</si>
  <si>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</si>
  <si>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</si>
  <si>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</si>
  <si>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</si>
  <si>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</si>
  <si>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</si>
  <si>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</si>
  <si>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</si>
  <si>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</si>
  <si>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</si>
  <si>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</si>
  <si>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</si>
  <si>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</si>
  <si>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</si>
  <si>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</si>
  <si>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</si>
  <si>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Field containing balls per over information.</t>
  </si>
  <si>
    <t>Field containing city information.</t>
  </si>
  <si>
    <t>Field containing match date information.</t>
  </si>
  <si>
    <t>Field containing event name information.</t>
  </si>
  <si>
    <t>Field containing match number information.</t>
  </si>
  <si>
    <t>Field containing gender information.</t>
  </si>
  <si>
    <t>Field containing match type information.</t>
  </si>
  <si>
    <t>Field containing format information.</t>
  </si>
  <si>
    <t>Field containing overs information.</t>
  </si>
  <si>
    <t>Field containing season information.</t>
  </si>
  <si>
    <t>Field containing team type information.</t>
  </si>
  <si>
    <t>Field containing venue information.</t>
  </si>
  <si>
    <t>Field containing toss winner information.</t>
  </si>
  <si>
    <t>Field containing team1 information.</t>
  </si>
  <si>
    <t>Field containing team2 information.</t>
  </si>
  <si>
    <t>Field containing toss decision information.</t>
  </si>
  <si>
    <t>Field containing match winner information.</t>
  </si>
  <si>
    <t>Field containing win by runs information.</t>
  </si>
  <si>
    <t>Field containing win by wickets information.</t>
  </si>
  <si>
    <t>Field containing result information.</t>
  </si>
  <si>
    <t>Field containing player of match information.</t>
  </si>
  <si>
    <t>Field containing team1 id information.</t>
  </si>
  <si>
    <t>Field containing team2 id information.</t>
  </si>
  <si>
    <t>Field containing toss winner id information.</t>
  </si>
  <si>
    <t>Field containing match winner id information.</t>
  </si>
  <si>
    <t>Field containing player of match id information.</t>
  </si>
  <si>
    <t>Numeric</t>
  </si>
  <si>
    <t>Primary Key</t>
  </si>
  <si>
    <t>335982, 1082591, 1082592</t>
  </si>
  <si>
    <t>2008, 2017, 2017</t>
  </si>
  <si>
    <t>Bangalore, Hyderabad, Pune</t>
  </si>
  <si>
    <t>2008-04-18, 2017-04-05, 2017-04-06</t>
  </si>
  <si>
    <t>Indian Premier League, Indian Premier League, Indian Premier League</t>
  </si>
  <si>
    <t>1.0, 1.0, 2.0</t>
  </si>
  <si>
    <t>male, male, male</t>
  </si>
  <si>
    <t>T20, T20, T20</t>
  </si>
  <si>
    <t>20, 20, 20</t>
  </si>
  <si>
    <t>club, club, club</t>
  </si>
  <si>
    <t>M Chinnaswamy Stadium, Rajiv Gandhi International Stadium, Uppal, Maharashtra Cricket Association Stadium</t>
  </si>
  <si>
    <t>Royal Challengers Bangalore, Royal Challengers Bangalore, Rising Pune Supergiant</t>
  </si>
  <si>
    <t>Royal Challengers Bangalore, Sunrisers Hyderabad, Rising Pune Supergiant</t>
  </si>
  <si>
    <t>Kolkata Knight Riders, Royal Challengers Bangalore, Mumbai Indians</t>
  </si>
  <si>
    <t>field, field, field</t>
  </si>
  <si>
    <t>Kolkata Knight Riders, Sunrisers Hyderabad, Rising Pune Supergiant</t>
  </si>
  <si>
    <t>140.0, 35.0, 15.0</t>
  </si>
  <si>
    <t>7.0, 10.0, 6.0</t>
  </si>
  <si>
    <t>win, win, win</t>
  </si>
  <si>
    <t>BB McCullum, Yuvraj Singh, SPD Smith</t>
  </si>
  <si>
    <t>1, 2, 4</t>
  </si>
  <si>
    <t>6, 1, 3</t>
  </si>
  <si>
    <t>1, 1, 4</t>
  </si>
  <si>
    <t>6, 2, 4</t>
  </si>
  <si>
    <t>46.0, 15.0, 36.0</t>
  </si>
  <si>
    <t>2008, 2017, 2018, 2019, 2020, 2021, 2022, 2023, 2024, 2025, 2009, 2010, 2011, 2012, 2013, 2014, 2015, 2016, 2026</t>
  </si>
  <si>
    <t>6</t>
  </si>
  <si>
    <t>Indian Premier League</t>
  </si>
  <si>
    <t>male</t>
  </si>
  <si>
    <t>T20</t>
  </si>
  <si>
    <t>20</t>
  </si>
  <si>
    <t>2008, 2017, 2018, 2019, 2020/21, 2021, 2022, 2023, 2024, 2025, 2009, 2010, 2011, 2012, 2013, 2014, 2015, 2016, 2026</t>
  </si>
  <si>
    <t>club</t>
  </si>
  <si>
    <t>Royal Challengers Bangalore, Rising Pune Supergiant, Kolkata Knight Riders, Punjab Kings, Sunrisers Hyderabad, Mumbai Indians, Gujarat Lions, Delhi Capitals, Chennai Super Kings, Rajasthan Royals, Gujarat Titans, Lucknow Super Giants, Kochi Tuskers Kerala, Pune Warriors</t>
  </si>
  <si>
    <t>Royal Challengers Bangalore, Sunrisers Hyderabad, Rising Pune Supergiant, Gujarat Lions, Punjab Kings, Mumbai Indians, Kolkata Knight Riders, Delhi Capitals, Rajasthan Royals, Chennai Super Kings, Lucknow Super Giants, Gujarat Titans, Kochi Tuskers Kerala, Pune Warriors</t>
  </si>
  <si>
    <t>Kolkata Knight Riders, Royal Challengers Bangalore, Mumbai Indians, Rising Pune Supergiant, Delhi Capitals, Gujarat Lions, Sunrisers Hyderabad, Punjab Kings, Chennai Super Kings, Rajasthan Royals, Gujarat Titans, Lucknow Super Giants, Kochi Tuskers Kerala, Pune Warriors</t>
  </si>
  <si>
    <t>field, bat</t>
  </si>
  <si>
    <t>Kolkata Knight Riders, Sunrisers Hyderabad, Rising Pune Supergiant, Punjab Kings, Royal Challengers Bangalore, Mumbai Indians, Delhi Capitals, Gujarat Lions, Chennai Super Kings, Rajasthan Royals, Gujarat Titans, Lucknow Super Giants, Pune Warriors, Kochi Tuskers Kerala</t>
  </si>
  <si>
    <t>7.0, 10.0, 6.0, 9.0, 4.0, 8.0, 5.0, 2.0, 1.0, 3.0</t>
  </si>
  <si>
    <t>win, tie, no result</t>
  </si>
  <si>
    <t>1, 2, 4, 5, 494, 3, 6, 252, 134, 129, 614, 615, 1414, 1419</t>
  </si>
  <si>
    <t>6, 1, 3, 4, 252, 5, 2, 494, 129, 134, 615, 614, 1414, 1419</t>
  </si>
  <si>
    <t>1, 4, 6, 494, 2, 3, 5, 252, 129, 134, 615, 614, 1414, 1419</t>
  </si>
  <si>
    <t>6, 2, 4, 494, 1, 3, 252, 5, 129, 134, 615, 614, 1419, 1414</t>
  </si>
  <si>
    <t>4.21%</t>
  </si>
  <si>
    <t>5.78%</t>
  </si>
  <si>
    <t>54.95%</t>
  </si>
  <si>
    <t>47.11%</t>
  </si>
  <si>
    <t>0.74%</t>
  </si>
  <si>
    <t>4.21% missing</t>
  </si>
  <si>
    <t>5.78% missing</t>
  </si>
  <si>
    <t>54.95% missing</t>
  </si>
  <si>
    <t>47.11% missing</t>
  </si>
  <si>
    <t>0.74% missing</t>
  </si>
  <si>
    <t>players.csv</t>
  </si>
  <si>
    <t>IPL cricket dataset: 799 rows, 6 columns.</t>
  </si>
  <si>
    <t>0.05 MB</t>
  </si>
  <si>
    <t>players</t>
  </si>
  <si>
    <t>Complete field-level dictionary for players.csv.</t>
  </si>
  <si>
    <t>player_id</t>
  </si>
  <si>
    <t>player_name</t>
  </si>
  <si>
    <t>bat_style</t>
  </si>
  <si>
    <t>bowl_style</t>
  </si>
  <si>
    <t>field_pos</t>
  </si>
  <si>
    <t>player_full_name</t>
  </si>
  <si>
    <t>Field containing player id information.</t>
  </si>
  <si>
    <t>Field containing player name information.</t>
  </si>
  <si>
    <t>Field containing bat style information.</t>
  </si>
  <si>
    <t>Field containing bowl style information.</t>
  </si>
  <si>
    <t>Field containing field pos information.</t>
  </si>
  <si>
    <t>Field containing player full name information.</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</si>
  <si>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</si>
  <si>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</si>
  <si>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</si>
  <si>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</si>
  <si>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</si>
  <si>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</si>
  <si>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t>
  </si>
  <si>
    <t xml:space="preserve"> , Wicketkeeper, Occasional Wicketkeeper, Right arm Medium, Right arm Fast, Slow Left arm Orthodox, Wicketkeeper Batter</t>
  </si>
  <si>
    <t>2.38%</t>
  </si>
  <si>
    <t>11.01%</t>
  </si>
  <si>
    <t>2.38% missing</t>
  </si>
  <si>
    <t>11.01% missing</t>
  </si>
  <si>
    <t>teams.csv</t>
  </si>
  <si>
    <t>IPL cricket dataset: 16 rows, 2 columns.</t>
  </si>
  <si>
    <t>0.00 MB</t>
  </si>
  <si>
    <t>teams</t>
  </si>
  <si>
    <t>Complete field-level dictionary for teams.csv.</t>
  </si>
  <si>
    <t>team_id</t>
  </si>
  <si>
    <t>team_name</t>
  </si>
  <si>
    <t>Field containing team id information.</t>
  </si>
  <si>
    <t>Field containing team name information.</t>
  </si>
  <si>
    <t>1, 2, 3</t>
  </si>
  <si>
    <t>Royal Challengers Bangalore, Sunrisers Hyderabad, Mumbai Indians</t>
  </si>
  <si>
    <t>1, 2, 3, 4, 5, 6, 129, 134, 252, 494, 614, 615, 1068, 1414, 1419, 3604</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</si>
  <si>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t>
  </si>
  <si>
    <t>venues.csv</t>
  </si>
  <si>
    <t>IPL cricket dataset: 63 rows, 3 columns.</t>
  </si>
  <si>
    <t>venues</t>
  </si>
  <si>
    <t>Complete field-level dictionary for venues.csv.</t>
  </si>
  <si>
    <t>venue_id</t>
  </si>
  <si>
    <t>Field containing venue id information.</t>
  </si>
  <si>
    <t>3.17%</t>
  </si>
  <si>
    <t>3.17% missing</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</si>
  <si>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</si>
  <si>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</si>
  <si>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</si>
  <si>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</si>
  <si>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</si>
  <si>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</si>
  <si>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</si>
  <si>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</si>
  <si>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</si>
  <si>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</si>
  <si>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</si>
  <si>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</si>
  <si>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</si>
  <si>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</si>
  <si>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</si>
  <si>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</si>
  <si>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</si>
  <si>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</si>
  <si>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</si>
  <si>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</si>
  <si>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</si>
  <si>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</si>
  <si>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</si>
  <si>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</si>
  <si>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</si>
  <si>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</si>
  <si>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</si>
  <si>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Mahammed asfan</t>
  </si>
  <si>
    <t>Deliveries.csv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</si>
</sst>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2">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0" fillId="0" borderId="5" xfId="0" applyBorder="1"/>
    <xf numFmtId="0" fontId="0" fillId="0" borderId="6" xfId="0" applyBorder="1"/>
    <xf numFmtId="0" fontId="2" fillId="3" borderId="2" xfId="0" applyFont="1" applyFill="1" applyBorder="1" applyAlignment="1">
      <alignment horizontal="left" vertical="center" wrapText="1" indent="1"/>
    </xf>
    <xf numFmtId="0" fontId="0" fillId="0" borderId="3" xfId="0" applyBorder="1"/>
    <xf numFmtId="0" fontId="0" fillId="0" borderId="4" xfId="0" applyBorder="1"/>
    <xf numFmtId="0" fontId="2" fillId="3" borderId="1" xfId="0" applyFont="1" applyFill="1" applyBorder="1" applyAlignment="1">
      <alignment horizontal="left" vertical="center" wrapText="1" indent="1"/>
    </xf>
    <xf numFmtId="0" fontId="0" fillId="0" borderId="6" xfId="0" applyBorder="1"/>
    <xf numFmtId="0" fontId="0" fillId="0" borderId="5" xfId="0" applyBorder="1"/>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4" t="s">
        <v>13</v>
      </c>
    </row>
    <row r="3" spans="2:3" x14ac:dyDescent="0.3">
      <c r="B3" s="3" t="s">
        <v>14</v>
      </c>
    </row>
    <row r="5" spans="2:3" ht="39.6" customHeight="1" x14ac:dyDescent="0.3">
      <c r="B5" s="5" t="s">
        <v>15</v>
      </c>
      <c r="C5" s="6" t="s">
        <v>16</v>
      </c>
    </row>
    <row r="7" spans="2:3" x14ac:dyDescent="0.3">
      <c r="B7" s="5" t="s">
        <v>17</v>
      </c>
      <c r="C7" s="7" t="s">
        <v>18</v>
      </c>
    </row>
    <row r="8" spans="2:3" x14ac:dyDescent="0.3">
      <c r="B8" s="6" t="s">
        <v>19</v>
      </c>
      <c r="C8" s="6" t="s">
        <v>20</v>
      </c>
    </row>
    <row r="9" spans="2:3" ht="26.4" customHeight="1" x14ac:dyDescent="0.3">
      <c r="B9" s="6" t="s">
        <v>21</v>
      </c>
      <c r="C9" s="6" t="s">
        <v>22</v>
      </c>
    </row>
    <row r="10" spans="2:3" ht="26.4" customHeight="1" x14ac:dyDescent="0.3">
      <c r="B10" s="6" t="s">
        <v>0</v>
      </c>
      <c r="C10" s="6" t="s">
        <v>23</v>
      </c>
    </row>
    <row r="11" spans="2:3" ht="26.4" customHeight="1" x14ac:dyDescent="0.3">
      <c r="B11" s="6" t="s">
        <v>24</v>
      </c>
      <c r="C11" s="6" t="s">
        <v>25</v>
      </c>
    </row>
    <row r="12" spans="2:3" ht="26.4" customHeight="1" x14ac:dyDescent="0.3">
      <c r="B12" s="6" t="s">
        <v>26</v>
      </c>
      <c r="C12" s="6" t="s">
        <v>27</v>
      </c>
    </row>
    <row r="14" spans="2:3" ht="144.75" customHeight="1" x14ac:dyDescent="0.3">
      <c r="B14" s="5" t="s">
        <v>28</v>
      </c>
      <c r="C14" s="6" t="s">
        <v>29</v>
      </c>
    </row>
    <row r="16" spans="2:3" ht="64.5" customHeight="1" x14ac:dyDescent="0.3">
      <c r="B16" s="5" t="s">
        <v>30</v>
      </c>
      <c r="C16" s="6" t="s">
        <v>31</v>
      </c>
    </row>
    <row r="18" spans="2:3" ht="49.5" customHeight="1" x14ac:dyDescent="0.3">
      <c r="B18" s="5" t="s">
        <v>32</v>
      </c>
      <c r="C18" s="6" t="s">
        <v>33</v>
      </c>
    </row>
    <row r="20" spans="2:3" ht="64.5" customHeight="1" x14ac:dyDescent="0.3">
      <c r="B20" s="5" t="s">
        <v>34</v>
      </c>
      <c r="C20" s="6" t="s">
        <v>35</v>
      </c>
    </row>
    <row r="22" spans="2:3" ht="90" customHeight="1" x14ac:dyDescent="0.3">
      <c r="B22" s="5" t="s">
        <v>36</v>
      </c>
      <c r="C22" s="6" t="s">
        <v>37</v>
      </c>
    </row>
    <row r="24" spans="2:3" x14ac:dyDescent="0.3">
      <c r="B24" s="5" t="s">
        <v>38</v>
      </c>
    </row>
    <row r="25" spans="2:3" x14ac:dyDescent="0.3">
      <c r="B25" s="8" t="s">
        <v>39</v>
      </c>
      <c r="C25" s="7" t="s">
        <v>40</v>
      </c>
    </row>
    <row r="26" spans="2:3" ht="26.4" customHeight="1" x14ac:dyDescent="0.3">
      <c r="B26" s="9" t="s">
        <v>41</v>
      </c>
      <c r="C26" s="6" t="s">
        <v>42</v>
      </c>
    </row>
    <row r="27" spans="2:3" x14ac:dyDescent="0.3">
      <c r="B27" s="10" t="s">
        <v>43</v>
      </c>
      <c r="C27" s="7" t="s">
        <v>44</v>
      </c>
    </row>
    <row r="28" spans="2:3" ht="26.4" customHeight="1" x14ac:dyDescent="0.3">
      <c r="B28" s="11" t="s">
        <v>45</v>
      </c>
      <c r="C28" s="6" t="s">
        <v>46</v>
      </c>
    </row>
    <row r="31" spans="2:3" ht="26.4" customHeight="1" x14ac:dyDescent="0.3">
      <c r="B31" s="5" t="s">
        <v>47</v>
      </c>
      <c r="C31" s="6"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4" t="s">
        <v>19</v>
      </c>
    </row>
    <row r="3" spans="2:3" x14ac:dyDescent="0.3">
      <c r="B3" s="3" t="s">
        <v>49</v>
      </c>
    </row>
    <row r="5" spans="2:3" ht="19.5" customHeight="1" x14ac:dyDescent="0.3">
      <c r="B5" s="12" t="s">
        <v>50</v>
      </c>
      <c r="C5" s="13" t="s">
        <v>51</v>
      </c>
    </row>
    <row r="6" spans="2:3" ht="19.5" customHeight="1" x14ac:dyDescent="0.3">
      <c r="B6" s="12" t="s">
        <v>52</v>
      </c>
      <c r="C6" s="13" t="s">
        <v>398</v>
      </c>
    </row>
    <row r="7" spans="2:3" ht="19.5" customHeight="1" x14ac:dyDescent="0.3">
      <c r="B7" s="12" t="s">
        <v>53</v>
      </c>
      <c r="C7" s="13" t="s">
        <v>54</v>
      </c>
    </row>
    <row r="8" spans="2:3" ht="19.5" customHeight="1" x14ac:dyDescent="0.3">
      <c r="B8" s="12" t="s">
        <v>55</v>
      </c>
      <c r="C8" s="13" t="s">
        <v>56</v>
      </c>
    </row>
    <row r="9" spans="2:3" ht="19.5" customHeight="1" x14ac:dyDescent="0.3">
      <c r="B9" s="12" t="s">
        <v>57</v>
      </c>
      <c r="C9" s="13" t="s">
        <v>58</v>
      </c>
    </row>
    <row r="10" spans="2:3" ht="31.5" customHeight="1" x14ac:dyDescent="0.3">
      <c r="B10" s="12" t="s">
        <v>59</v>
      </c>
      <c r="C10" s="13" t="s">
        <v>60</v>
      </c>
    </row>
    <row r="11" spans="2:3" ht="19.5" customHeight="1" x14ac:dyDescent="0.3">
      <c r="B11" s="12" t="s">
        <v>61</v>
      </c>
      <c r="C11" s="13" t="s">
        <v>62</v>
      </c>
    </row>
    <row r="12" spans="2:3" ht="31.5" customHeight="1" x14ac:dyDescent="0.3">
      <c r="B12" s="12" t="s">
        <v>63</v>
      </c>
      <c r="C12" s="13" t="s">
        <v>64</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1"/>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B4" sqref="B4:AG4"/>
    </sheetView>
  </sheetViews>
  <sheetFormatPr defaultColWidth="8.6640625" defaultRowHeight="14.4" x14ac:dyDescent="0.3"/>
  <cols>
    <col min="1" max="1" width="24" customWidth="1"/>
    <col min="2" max="33" width="18" customWidth="1"/>
  </cols>
  <sheetData>
    <row r="1" spans="1:33" ht="21" customHeight="1" x14ac:dyDescent="0.4">
      <c r="A1" s="4" t="s">
        <v>21</v>
      </c>
    </row>
    <row r="2" spans="1:33" x14ac:dyDescent="0.3">
      <c r="A2" s="3" t="s">
        <v>65</v>
      </c>
    </row>
    <row r="4" spans="1:33" ht="15" customHeight="1" x14ac:dyDescent="0.3">
      <c r="A4" s="14" t="s">
        <v>66</v>
      </c>
      <c r="B4" s="33" t="s">
        <v>399</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5"/>
    </row>
    <row r="5" spans="1:33" ht="15" customHeight="1" x14ac:dyDescent="0.3">
      <c r="A5" s="14" t="s">
        <v>67</v>
      </c>
      <c r="B5" s="36" t="s">
        <v>68</v>
      </c>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7"/>
    </row>
    <row r="6" spans="1:33" ht="13.5" customHeight="1" x14ac:dyDescent="0.3">
      <c r="A6" s="14" t="s">
        <v>69</v>
      </c>
      <c r="B6" s="1" t="s">
        <v>70</v>
      </c>
      <c r="C6" s="1" t="s">
        <v>71</v>
      </c>
      <c r="D6" s="1" t="s">
        <v>72</v>
      </c>
      <c r="E6" s="31"/>
      <c r="F6" s="31"/>
      <c r="G6" s="31"/>
      <c r="H6" s="31"/>
      <c r="I6" s="31"/>
      <c r="J6" s="31"/>
      <c r="K6" s="31"/>
      <c r="L6" s="31"/>
      <c r="M6" s="31"/>
      <c r="N6" s="31"/>
      <c r="O6" s="31"/>
      <c r="P6" s="31"/>
      <c r="Q6" s="31"/>
      <c r="R6" s="31"/>
      <c r="S6" s="31"/>
      <c r="T6" s="31"/>
      <c r="U6" s="32"/>
      <c r="V6" s="32"/>
      <c r="W6" s="32"/>
      <c r="X6" s="32"/>
      <c r="Y6" s="32"/>
      <c r="Z6" s="32"/>
      <c r="AA6" s="32"/>
      <c r="AB6" s="32"/>
      <c r="AC6" s="32"/>
      <c r="AD6" s="32"/>
      <c r="AE6" s="32"/>
      <c r="AF6" s="32"/>
      <c r="AG6" s="32"/>
    </row>
    <row r="7" spans="1:33" ht="15" customHeight="1" x14ac:dyDescent="0.3">
      <c r="A7" s="14"/>
      <c r="B7" s="15" t="s">
        <v>73</v>
      </c>
      <c r="C7" s="15" t="s">
        <v>74</v>
      </c>
      <c r="D7" s="2" t="s">
        <v>75</v>
      </c>
      <c r="E7" s="31"/>
      <c r="F7" s="31"/>
      <c r="G7" s="31"/>
      <c r="H7" s="31"/>
      <c r="I7" s="31"/>
      <c r="J7" s="31"/>
      <c r="K7" s="31"/>
      <c r="L7" s="31"/>
      <c r="M7" s="31"/>
      <c r="N7" s="31"/>
      <c r="O7" s="31"/>
      <c r="P7" s="31"/>
      <c r="Q7" s="31"/>
      <c r="R7" s="31"/>
      <c r="S7" s="31"/>
      <c r="T7" s="31"/>
      <c r="U7" s="32"/>
      <c r="V7" s="32"/>
      <c r="W7" s="32"/>
      <c r="X7" s="32"/>
      <c r="Y7" s="32"/>
      <c r="Z7" s="32"/>
      <c r="AA7" s="32"/>
      <c r="AB7" s="32"/>
      <c r="AC7" s="32"/>
      <c r="AD7" s="32"/>
      <c r="AE7" s="32"/>
      <c r="AF7" s="32"/>
      <c r="AG7" s="32"/>
    </row>
    <row r="8" spans="1:33" ht="15" customHeight="1" x14ac:dyDescent="0.3">
      <c r="A8" s="16" t="s">
        <v>76</v>
      </c>
      <c r="B8" s="33" t="s">
        <v>77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5"/>
    </row>
    <row r="9" spans="1:33" ht="15" customHeight="1" x14ac:dyDescent="0.3">
      <c r="A9" s="16" t="s">
        <v>78</v>
      </c>
      <c r="B9" s="36" t="s">
        <v>79</v>
      </c>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7"/>
    </row>
    <row r="10" spans="1:33" ht="13.5" customHeight="1" x14ac:dyDescent="0.3">
      <c r="A10" s="16" t="s">
        <v>80</v>
      </c>
      <c r="B10" s="1" t="s">
        <v>81</v>
      </c>
      <c r="C10" s="1" t="s">
        <v>82</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row>
    <row r="11" spans="1:33" x14ac:dyDescent="0.3">
      <c r="A11" s="16"/>
      <c r="B11" s="18">
        <v>288226</v>
      </c>
      <c r="C11" s="18">
        <v>32</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33" ht="6" customHeight="1" x14ac:dyDescent="0.3"/>
    <row r="13" spans="1:33" ht="26.4" customHeight="1" x14ac:dyDescent="0.3">
      <c r="A13" s="20" t="s">
        <v>83</v>
      </c>
      <c r="B13" s="21" t="s">
        <v>84</v>
      </c>
      <c r="C13" s="21" t="s">
        <v>85</v>
      </c>
      <c r="D13" s="21" t="s">
        <v>86</v>
      </c>
      <c r="E13" s="21" t="s">
        <v>87</v>
      </c>
      <c r="F13" s="21" t="s">
        <v>88</v>
      </c>
      <c r="G13" s="21" t="s">
        <v>89</v>
      </c>
      <c r="H13" s="21" t="s">
        <v>90</v>
      </c>
      <c r="I13" s="21" t="s">
        <v>91</v>
      </c>
      <c r="J13" s="21" t="s">
        <v>92</v>
      </c>
      <c r="K13" s="21" t="s">
        <v>93</v>
      </c>
      <c r="L13" s="21" t="s">
        <v>94</v>
      </c>
      <c r="M13" s="21" t="s">
        <v>95</v>
      </c>
      <c r="N13" s="21" t="s">
        <v>96</v>
      </c>
      <c r="O13" s="21" t="s">
        <v>97</v>
      </c>
      <c r="P13" s="21" t="s">
        <v>98</v>
      </c>
      <c r="Q13" s="21" t="s">
        <v>99</v>
      </c>
      <c r="R13" s="21" t="s">
        <v>100</v>
      </c>
      <c r="S13" s="21" t="s">
        <v>101</v>
      </c>
      <c r="T13" s="21" t="s">
        <v>102</v>
      </c>
      <c r="U13" s="21" t="s">
        <v>103</v>
      </c>
      <c r="V13" s="21" t="s">
        <v>104</v>
      </c>
      <c r="W13" s="21" t="s">
        <v>105</v>
      </c>
      <c r="X13" s="21" t="s">
        <v>106</v>
      </c>
      <c r="Y13" s="21" t="s">
        <v>107</v>
      </c>
      <c r="Z13" s="21" t="s">
        <v>108</v>
      </c>
      <c r="AA13" s="21" t="s">
        <v>109</v>
      </c>
      <c r="AB13" s="21" t="s">
        <v>110</v>
      </c>
      <c r="AC13" s="21" t="s">
        <v>111</v>
      </c>
      <c r="AD13" s="21" t="s">
        <v>112</v>
      </c>
      <c r="AE13" s="21" t="s">
        <v>113</v>
      </c>
      <c r="AF13" s="21" t="s">
        <v>114</v>
      </c>
      <c r="AG13" s="21" t="s">
        <v>115</v>
      </c>
    </row>
    <row r="14" spans="1:33" ht="39.6" customHeight="1" x14ac:dyDescent="0.3">
      <c r="A14" s="20" t="s">
        <v>116</v>
      </c>
      <c r="B14" s="22" t="s">
        <v>117</v>
      </c>
      <c r="C14" s="22" t="s">
        <v>118</v>
      </c>
      <c r="D14" s="22" t="s">
        <v>119</v>
      </c>
      <c r="E14" s="22" t="s">
        <v>120</v>
      </c>
      <c r="F14" s="22" t="s">
        <v>121</v>
      </c>
      <c r="G14" s="22" t="s">
        <v>122</v>
      </c>
      <c r="H14" s="22" t="s">
        <v>123</v>
      </c>
      <c r="I14" s="22" t="s">
        <v>124</v>
      </c>
      <c r="J14" s="22" t="s">
        <v>125</v>
      </c>
      <c r="K14" s="22" t="s">
        <v>126</v>
      </c>
      <c r="L14" s="22" t="s">
        <v>127</v>
      </c>
      <c r="M14" s="22" t="s">
        <v>128</v>
      </c>
      <c r="N14" s="22" t="s">
        <v>129</v>
      </c>
      <c r="O14" s="22" t="s">
        <v>130</v>
      </c>
      <c r="P14" s="22" t="s">
        <v>131</v>
      </c>
      <c r="Q14" s="22" t="s">
        <v>132</v>
      </c>
      <c r="R14" s="22" t="s">
        <v>133</v>
      </c>
      <c r="S14" s="22" t="s">
        <v>134</v>
      </c>
      <c r="T14" s="22" t="s">
        <v>135</v>
      </c>
      <c r="U14" s="22" t="s">
        <v>136</v>
      </c>
      <c r="V14" s="22" t="s">
        <v>137</v>
      </c>
      <c r="W14" s="22" t="s">
        <v>138</v>
      </c>
      <c r="X14" s="22" t="s">
        <v>139</v>
      </c>
      <c r="Y14" s="22" t="s">
        <v>140</v>
      </c>
      <c r="Z14" s="22" t="s">
        <v>141</v>
      </c>
      <c r="AA14" s="22" t="s">
        <v>142</v>
      </c>
      <c r="AB14" s="22" t="s">
        <v>143</v>
      </c>
      <c r="AC14" s="22" t="s">
        <v>144</v>
      </c>
      <c r="AD14" s="22" t="s">
        <v>145</v>
      </c>
      <c r="AE14" s="22" t="s">
        <v>146</v>
      </c>
      <c r="AF14" s="22" t="s">
        <v>147</v>
      </c>
      <c r="AG14" s="22" t="s">
        <v>148</v>
      </c>
    </row>
    <row r="15" spans="1:33" x14ac:dyDescent="0.3">
      <c r="A15" s="20" t="s">
        <v>149</v>
      </c>
      <c r="B15" s="22" t="s">
        <v>150</v>
      </c>
      <c r="C15" s="22" t="s">
        <v>150</v>
      </c>
      <c r="D15" s="22" t="s">
        <v>151</v>
      </c>
      <c r="E15" s="22" t="s">
        <v>151</v>
      </c>
      <c r="F15" s="22" t="s">
        <v>151</v>
      </c>
      <c r="G15" s="22" t="s">
        <v>150</v>
      </c>
      <c r="H15" s="22" t="s">
        <v>150</v>
      </c>
      <c r="I15" s="22" t="s">
        <v>150</v>
      </c>
      <c r="J15" s="22" t="s">
        <v>150</v>
      </c>
      <c r="K15" s="22" t="s">
        <v>150</v>
      </c>
      <c r="L15" s="22" t="s">
        <v>151</v>
      </c>
      <c r="M15" s="22" t="s">
        <v>151</v>
      </c>
      <c r="N15" s="22" t="s">
        <v>151</v>
      </c>
      <c r="O15" s="22" t="s">
        <v>151</v>
      </c>
      <c r="P15" s="22" t="s">
        <v>150</v>
      </c>
      <c r="Q15" s="22" t="s">
        <v>150</v>
      </c>
      <c r="R15" s="22" t="s">
        <v>150</v>
      </c>
      <c r="S15" s="22" t="s">
        <v>150</v>
      </c>
      <c r="T15" s="22" t="s">
        <v>150</v>
      </c>
      <c r="U15" s="22" t="s">
        <v>150</v>
      </c>
      <c r="V15" s="22" t="s">
        <v>150</v>
      </c>
      <c r="W15" s="22" t="s">
        <v>150</v>
      </c>
      <c r="X15" s="22" t="s">
        <v>150</v>
      </c>
      <c r="Y15" s="22" t="s">
        <v>150</v>
      </c>
      <c r="Z15" s="22" t="s">
        <v>150</v>
      </c>
      <c r="AA15" s="22" t="s">
        <v>151</v>
      </c>
      <c r="AB15" s="22" t="s">
        <v>150</v>
      </c>
      <c r="AC15" s="22" t="s">
        <v>150</v>
      </c>
      <c r="AD15" s="22" t="s">
        <v>150</v>
      </c>
      <c r="AE15" s="22" t="s">
        <v>150</v>
      </c>
      <c r="AF15" s="22" t="s">
        <v>151</v>
      </c>
      <c r="AG15" s="22" t="s">
        <v>151</v>
      </c>
    </row>
    <row r="16" spans="1:33" x14ac:dyDescent="0.3">
      <c r="A16" s="20" t="s">
        <v>152</v>
      </c>
      <c r="B16" s="22" t="s">
        <v>153</v>
      </c>
      <c r="C16" s="22" t="s">
        <v>153</v>
      </c>
      <c r="D16" s="22" t="s">
        <v>154</v>
      </c>
      <c r="E16" s="22" t="s">
        <v>154</v>
      </c>
      <c r="F16" s="22" t="s">
        <v>154</v>
      </c>
      <c r="G16" s="22" t="s">
        <v>154</v>
      </c>
      <c r="H16" s="22" t="s">
        <v>154</v>
      </c>
      <c r="I16" s="22" t="s">
        <v>154</v>
      </c>
      <c r="J16" s="22" t="s">
        <v>154</v>
      </c>
      <c r="K16" s="22" t="s">
        <v>154</v>
      </c>
      <c r="L16" s="22" t="s">
        <v>154</v>
      </c>
      <c r="M16" s="22" t="s">
        <v>154</v>
      </c>
      <c r="N16" s="22" t="s">
        <v>154</v>
      </c>
      <c r="O16" s="22" t="s">
        <v>154</v>
      </c>
      <c r="P16" s="22" t="s">
        <v>154</v>
      </c>
      <c r="Q16" s="22" t="s">
        <v>154</v>
      </c>
      <c r="R16" s="22" t="s">
        <v>154</v>
      </c>
      <c r="S16" s="22" t="s">
        <v>154</v>
      </c>
      <c r="T16" s="22" t="s">
        <v>154</v>
      </c>
      <c r="U16" s="22" t="s">
        <v>154</v>
      </c>
      <c r="V16" s="22" t="s">
        <v>154</v>
      </c>
      <c r="W16" s="22" t="s">
        <v>154</v>
      </c>
      <c r="X16" s="22" t="s">
        <v>154</v>
      </c>
      <c r="Y16" s="22" t="s">
        <v>154</v>
      </c>
      <c r="Z16" s="22" t="s">
        <v>154</v>
      </c>
      <c r="AA16" s="22" t="s">
        <v>154</v>
      </c>
      <c r="AB16" s="22" t="s">
        <v>154</v>
      </c>
      <c r="AC16" s="22" t="s">
        <v>154</v>
      </c>
      <c r="AD16" s="22" t="s">
        <v>153</v>
      </c>
      <c r="AE16" s="22" t="s">
        <v>153</v>
      </c>
      <c r="AF16" s="22" t="s">
        <v>154</v>
      </c>
      <c r="AG16" s="22" t="s">
        <v>154</v>
      </c>
    </row>
    <row r="17" spans="1:33" ht="26.4" customHeight="1" x14ac:dyDescent="0.3">
      <c r="A17" s="23" t="s">
        <v>155</v>
      </c>
      <c r="B17" s="22" t="s">
        <v>156</v>
      </c>
      <c r="C17" s="22" t="s">
        <v>157</v>
      </c>
      <c r="D17" s="22" t="s">
        <v>158</v>
      </c>
      <c r="E17" s="22" t="s">
        <v>159</v>
      </c>
      <c r="F17" s="22" t="s">
        <v>160</v>
      </c>
      <c r="G17" s="22" t="s">
        <v>161</v>
      </c>
      <c r="H17" s="22" t="s">
        <v>162</v>
      </c>
      <c r="I17" s="22" t="s">
        <v>161</v>
      </c>
      <c r="J17" s="22" t="s">
        <v>163</v>
      </c>
      <c r="K17" s="22" t="s">
        <v>163</v>
      </c>
      <c r="L17" s="22" t="s">
        <v>164</v>
      </c>
      <c r="M17" s="22" t="s">
        <v>165</v>
      </c>
      <c r="N17" s="22" t="s">
        <v>166</v>
      </c>
      <c r="O17" s="22" t="s">
        <v>167</v>
      </c>
      <c r="P17" s="22" t="s">
        <v>161</v>
      </c>
      <c r="Q17" s="22" t="s">
        <v>168</v>
      </c>
      <c r="R17" s="22" t="s">
        <v>161</v>
      </c>
      <c r="S17" s="22" t="s">
        <v>169</v>
      </c>
      <c r="T17" s="22" t="s">
        <v>161</v>
      </c>
      <c r="U17" s="22" t="s">
        <v>161</v>
      </c>
      <c r="V17" s="22" t="s">
        <v>168</v>
      </c>
      <c r="W17" s="22" t="s">
        <v>161</v>
      </c>
      <c r="X17" s="22" t="s">
        <v>169</v>
      </c>
      <c r="Y17" s="22" t="s">
        <v>161</v>
      </c>
      <c r="Z17" s="22" t="s">
        <v>161</v>
      </c>
      <c r="AA17" s="22" t="s">
        <v>170</v>
      </c>
      <c r="AB17" s="22" t="s">
        <v>161</v>
      </c>
      <c r="AC17" s="22" t="s">
        <v>171</v>
      </c>
      <c r="AD17" s="22" t="s">
        <v>172</v>
      </c>
      <c r="AE17" s="22" t="s">
        <v>171</v>
      </c>
      <c r="AF17" s="22" t="s">
        <v>173</v>
      </c>
      <c r="AG17" s="22" t="s">
        <v>174</v>
      </c>
    </row>
    <row r="18" spans="1:33" x14ac:dyDescent="0.3">
      <c r="A18" s="23" t="s">
        <v>175</v>
      </c>
      <c r="B18" s="24">
        <v>19</v>
      </c>
      <c r="C18" s="24">
        <v>1212</v>
      </c>
      <c r="D18" s="24">
        <v>727</v>
      </c>
      <c r="E18" s="24">
        <v>568</v>
      </c>
      <c r="F18" s="24">
        <v>715</v>
      </c>
      <c r="G18" s="24">
        <v>20</v>
      </c>
      <c r="H18" s="24">
        <v>11</v>
      </c>
      <c r="I18" s="24">
        <v>7</v>
      </c>
      <c r="J18" s="24">
        <v>7</v>
      </c>
      <c r="K18" s="24">
        <v>8</v>
      </c>
      <c r="L18" s="24">
        <v>2</v>
      </c>
      <c r="M18" s="24">
        <v>21</v>
      </c>
      <c r="N18" s="24">
        <v>676</v>
      </c>
      <c r="O18" s="24">
        <v>1129</v>
      </c>
      <c r="P18" s="24">
        <v>2</v>
      </c>
      <c r="Q18" s="24">
        <v>2</v>
      </c>
      <c r="R18" s="24">
        <v>2</v>
      </c>
      <c r="S18" s="24">
        <v>2</v>
      </c>
      <c r="T18" s="24">
        <v>2</v>
      </c>
      <c r="U18" s="24">
        <v>2</v>
      </c>
      <c r="V18" s="24">
        <v>6</v>
      </c>
      <c r="W18" s="24">
        <v>5</v>
      </c>
      <c r="X18" s="24">
        <v>6</v>
      </c>
      <c r="Y18" s="24">
        <v>5</v>
      </c>
      <c r="Z18" s="24">
        <v>2</v>
      </c>
      <c r="AA18" s="24">
        <v>10</v>
      </c>
      <c r="AB18" s="24">
        <v>2</v>
      </c>
      <c r="AC18" s="24">
        <v>6</v>
      </c>
      <c r="AD18" s="24">
        <v>14</v>
      </c>
      <c r="AE18" s="24">
        <v>14</v>
      </c>
      <c r="AF18" s="24">
        <v>14</v>
      </c>
      <c r="AG18" s="24">
        <v>14</v>
      </c>
    </row>
    <row r="19" spans="1:33" ht="79.2" customHeight="1" x14ac:dyDescent="0.3">
      <c r="A19" s="23" t="s">
        <v>176</v>
      </c>
      <c r="B19" s="22" t="s">
        <v>177</v>
      </c>
      <c r="C19" s="22" t="s">
        <v>178</v>
      </c>
      <c r="D19" s="22" t="s">
        <v>178</v>
      </c>
      <c r="E19" s="22" t="s">
        <v>178</v>
      </c>
      <c r="F19" s="22" t="s">
        <v>178</v>
      </c>
      <c r="G19" s="22" t="s">
        <v>179</v>
      </c>
      <c r="H19" s="22" t="s">
        <v>180</v>
      </c>
      <c r="I19" s="22" t="s">
        <v>181</v>
      </c>
      <c r="J19" s="22" t="s">
        <v>182</v>
      </c>
      <c r="K19" s="22" t="s">
        <v>183</v>
      </c>
      <c r="L19" s="22" t="s">
        <v>184</v>
      </c>
      <c r="M19" s="22" t="s">
        <v>178</v>
      </c>
      <c r="N19" s="22" t="s">
        <v>178</v>
      </c>
      <c r="O19" s="22" t="s">
        <v>178</v>
      </c>
      <c r="P19" s="22" t="s">
        <v>185</v>
      </c>
      <c r="Q19" s="22" t="s">
        <v>185</v>
      </c>
      <c r="R19" s="22" t="s">
        <v>185</v>
      </c>
      <c r="S19" s="22" t="s">
        <v>186</v>
      </c>
      <c r="T19" s="22" t="s">
        <v>185</v>
      </c>
      <c r="U19" s="22" t="s">
        <v>185</v>
      </c>
      <c r="V19" s="22" t="s">
        <v>187</v>
      </c>
      <c r="W19" s="22" t="s">
        <v>188</v>
      </c>
      <c r="X19" s="22" t="s">
        <v>189</v>
      </c>
      <c r="Y19" s="22" t="s">
        <v>190</v>
      </c>
      <c r="Z19" s="22" t="s">
        <v>191</v>
      </c>
      <c r="AA19" s="22" t="s">
        <v>192</v>
      </c>
      <c r="AB19" s="22" t="s">
        <v>185</v>
      </c>
      <c r="AC19" s="22" t="s">
        <v>193</v>
      </c>
      <c r="AD19" s="22" t="s">
        <v>194</v>
      </c>
      <c r="AE19" s="22" t="s">
        <v>195</v>
      </c>
      <c r="AF19" s="22" t="s">
        <v>196</v>
      </c>
      <c r="AG19" s="22" t="s">
        <v>197</v>
      </c>
    </row>
    <row r="20" spans="1:33" x14ac:dyDescent="0.3">
      <c r="A20" s="23" t="s">
        <v>198</v>
      </c>
      <c r="B20" s="22" t="s">
        <v>199</v>
      </c>
      <c r="C20" s="22" t="s">
        <v>199</v>
      </c>
      <c r="D20" s="22" t="s">
        <v>199</v>
      </c>
      <c r="E20" s="22" t="s">
        <v>199</v>
      </c>
      <c r="F20" s="22" t="s">
        <v>199</v>
      </c>
      <c r="G20" s="22" t="s">
        <v>199</v>
      </c>
      <c r="H20" s="22" t="s">
        <v>199</v>
      </c>
      <c r="I20" s="22" t="s">
        <v>199</v>
      </c>
      <c r="J20" s="22" t="s">
        <v>199</v>
      </c>
      <c r="K20" s="22" t="s">
        <v>199</v>
      </c>
      <c r="L20" s="22" t="s">
        <v>200</v>
      </c>
      <c r="M20" s="22" t="s">
        <v>201</v>
      </c>
      <c r="N20" s="22" t="s">
        <v>202</v>
      </c>
      <c r="O20" s="22" t="s">
        <v>202</v>
      </c>
      <c r="P20" s="22" t="s">
        <v>199</v>
      </c>
      <c r="Q20" s="22" t="s">
        <v>199</v>
      </c>
      <c r="R20" s="22" t="s">
        <v>199</v>
      </c>
      <c r="S20" s="22" t="s">
        <v>199</v>
      </c>
      <c r="T20" s="22" t="s">
        <v>199</v>
      </c>
      <c r="U20" s="22" t="s">
        <v>199</v>
      </c>
      <c r="V20" s="22" t="s">
        <v>199</v>
      </c>
      <c r="W20" s="22" t="s">
        <v>199</v>
      </c>
      <c r="X20" s="22" t="s">
        <v>199</v>
      </c>
      <c r="Y20" s="22" t="s">
        <v>199</v>
      </c>
      <c r="Z20" s="22" t="s">
        <v>199</v>
      </c>
      <c r="AA20" s="22" t="s">
        <v>202</v>
      </c>
      <c r="AB20" s="22" t="s">
        <v>199</v>
      </c>
      <c r="AC20" s="22" t="s">
        <v>199</v>
      </c>
      <c r="AD20" s="22" t="s">
        <v>199</v>
      </c>
      <c r="AE20" s="22" t="s">
        <v>199</v>
      </c>
      <c r="AF20" s="22" t="s">
        <v>199</v>
      </c>
      <c r="AG20" s="22" t="s">
        <v>199</v>
      </c>
    </row>
    <row r="21" spans="1:33" ht="118.8" customHeight="1" x14ac:dyDescent="0.3">
      <c r="A21" s="23" t="s">
        <v>203</v>
      </c>
      <c r="B21" s="22" t="s">
        <v>204</v>
      </c>
      <c r="C21" s="22" t="s">
        <v>204</v>
      </c>
      <c r="D21" s="22" t="s">
        <v>204</v>
      </c>
      <c r="E21" s="22" t="s">
        <v>204</v>
      </c>
      <c r="F21" s="22" t="s">
        <v>204</v>
      </c>
      <c r="G21" s="22" t="s">
        <v>204</v>
      </c>
      <c r="H21" s="22" t="s">
        <v>204</v>
      </c>
      <c r="I21" s="22" t="s">
        <v>204</v>
      </c>
      <c r="J21" s="22" t="s">
        <v>204</v>
      </c>
      <c r="K21" s="22" t="s">
        <v>204</v>
      </c>
      <c r="L21" s="22" t="s">
        <v>205</v>
      </c>
      <c r="M21" s="22" t="s">
        <v>206</v>
      </c>
      <c r="N21" s="22" t="s">
        <v>207</v>
      </c>
      <c r="O21" s="22" t="s">
        <v>207</v>
      </c>
      <c r="P21" s="22" t="s">
        <v>204</v>
      </c>
      <c r="Q21" s="22" t="s">
        <v>204</v>
      </c>
      <c r="R21" s="22" t="s">
        <v>204</v>
      </c>
      <c r="S21" s="22" t="s">
        <v>204</v>
      </c>
      <c r="T21" s="22" t="s">
        <v>204</v>
      </c>
      <c r="U21" s="22" t="s">
        <v>204</v>
      </c>
      <c r="V21" s="22" t="s">
        <v>204</v>
      </c>
      <c r="W21" s="22" t="s">
        <v>204</v>
      </c>
      <c r="X21" s="22" t="s">
        <v>204</v>
      </c>
      <c r="Y21" s="22" t="s">
        <v>204</v>
      </c>
      <c r="Z21" s="22" t="s">
        <v>204</v>
      </c>
      <c r="AA21" s="22" t="s">
        <v>207</v>
      </c>
      <c r="AB21" s="22" t="s">
        <v>204</v>
      </c>
      <c r="AC21" s="22" t="s">
        <v>204</v>
      </c>
      <c r="AD21" s="22" t="s">
        <v>204</v>
      </c>
      <c r="AE21" s="22" t="s">
        <v>204</v>
      </c>
      <c r="AF21" s="22" t="s">
        <v>204</v>
      </c>
      <c r="AG21" s="22" t="s">
        <v>204</v>
      </c>
    </row>
    <row r="22" spans="1:33" ht="9.75" customHeight="1" x14ac:dyDescent="0.3"/>
    <row r="23" spans="1:33" ht="9.75" customHeight="1" x14ac:dyDescent="0.3"/>
    <row r="24" spans="1:33" x14ac:dyDescent="0.3">
      <c r="A24" s="14" t="s">
        <v>66</v>
      </c>
      <c r="B24" s="33" t="s">
        <v>208</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5"/>
    </row>
    <row r="25" spans="1:33" ht="15" customHeight="1" thickBot="1" x14ac:dyDescent="0.35">
      <c r="A25" s="14" t="s">
        <v>67</v>
      </c>
      <c r="B25" s="36" t="s">
        <v>209</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7"/>
    </row>
    <row r="26" spans="1:33" x14ac:dyDescent="0.3">
      <c r="A26" s="14" t="s">
        <v>69</v>
      </c>
      <c r="B26" s="1" t="s">
        <v>70</v>
      </c>
      <c r="C26" s="1" t="s">
        <v>71</v>
      </c>
      <c r="D26" s="1" t="s">
        <v>72</v>
      </c>
      <c r="E26" s="31"/>
      <c r="F26" s="31"/>
      <c r="G26" s="31"/>
      <c r="H26" s="31"/>
      <c r="I26" s="31"/>
      <c r="J26" s="31"/>
      <c r="K26" s="31"/>
      <c r="L26" s="31"/>
      <c r="M26" s="31"/>
      <c r="N26" s="31"/>
      <c r="O26" s="31"/>
      <c r="P26" s="31"/>
      <c r="Q26" s="31"/>
      <c r="R26" s="31"/>
      <c r="S26" s="31"/>
      <c r="T26" s="31"/>
      <c r="U26" s="32"/>
      <c r="V26" s="32"/>
      <c r="W26" s="32"/>
      <c r="X26" s="32"/>
      <c r="Y26" s="32"/>
      <c r="Z26" s="32"/>
      <c r="AA26" s="32"/>
      <c r="AB26" s="32"/>
      <c r="AC26" s="32"/>
    </row>
    <row r="27" spans="1:33" ht="26.4" x14ac:dyDescent="0.3">
      <c r="A27" s="14"/>
      <c r="B27" s="15" t="s">
        <v>73</v>
      </c>
      <c r="C27" s="15" t="s">
        <v>210</v>
      </c>
      <c r="D27" s="2" t="s">
        <v>75</v>
      </c>
      <c r="E27" s="31"/>
      <c r="F27" s="31"/>
      <c r="G27" s="31"/>
      <c r="H27" s="31"/>
      <c r="I27" s="31"/>
      <c r="J27" s="31"/>
      <c r="K27" s="31"/>
      <c r="L27" s="31"/>
      <c r="M27" s="31"/>
      <c r="N27" s="31"/>
      <c r="O27" s="31"/>
      <c r="P27" s="31"/>
      <c r="Q27" s="31"/>
      <c r="R27" s="31"/>
      <c r="S27" s="31"/>
      <c r="T27" s="31"/>
      <c r="U27" s="32"/>
      <c r="V27" s="32"/>
      <c r="W27" s="32"/>
      <c r="X27" s="32"/>
      <c r="Y27" s="32"/>
      <c r="Z27" s="32"/>
      <c r="AA27" s="32"/>
      <c r="AB27" s="32"/>
      <c r="AC27" s="32"/>
    </row>
    <row r="28" spans="1:33" x14ac:dyDescent="0.3">
      <c r="A28" s="16" t="s">
        <v>76</v>
      </c>
      <c r="B28" s="33" t="s">
        <v>211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5"/>
    </row>
    <row r="29" spans="1:33" ht="15" customHeight="1" thickBot="1" x14ac:dyDescent="0.35">
      <c r="A29" s="16" t="s">
        <v>78</v>
      </c>
      <c r="B29" s="36" t="s">
        <v>212</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7"/>
    </row>
    <row r="30" spans="1:33" x14ac:dyDescent="0.3">
      <c r="A30" s="16" t="s">
        <v>80</v>
      </c>
      <c r="B30" s="1" t="s">
        <v>81</v>
      </c>
      <c r="C30" s="1" t="s">
        <v>82</v>
      </c>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33" x14ac:dyDescent="0.3">
      <c r="A31" s="16"/>
      <c r="B31" s="18">
        <v>1212</v>
      </c>
      <c r="C31" s="18">
        <v>28</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3" spans="1:29" ht="26.4" x14ac:dyDescent="0.3">
      <c r="A33" s="20" t="s">
        <v>83</v>
      </c>
      <c r="B33" s="21" t="s">
        <v>85</v>
      </c>
      <c r="C33" s="21" t="s">
        <v>84</v>
      </c>
      <c r="D33" s="21" t="s">
        <v>213</v>
      </c>
      <c r="E33" s="21" t="s">
        <v>214</v>
      </c>
      <c r="F33" s="21" t="s">
        <v>215</v>
      </c>
      <c r="G33" s="21" t="s">
        <v>216</v>
      </c>
      <c r="H33" s="21" t="s">
        <v>217</v>
      </c>
      <c r="I33" s="21" t="s">
        <v>218</v>
      </c>
      <c r="J33" s="21" t="s">
        <v>219</v>
      </c>
      <c r="K33" s="21" t="s">
        <v>220</v>
      </c>
      <c r="L33" s="21" t="s">
        <v>221</v>
      </c>
      <c r="M33" s="21" t="s">
        <v>222</v>
      </c>
      <c r="N33" s="21" t="s">
        <v>223</v>
      </c>
      <c r="O33" s="21" t="s">
        <v>224</v>
      </c>
      <c r="P33" s="21" t="s">
        <v>225</v>
      </c>
      <c r="Q33" s="21" t="s">
        <v>226</v>
      </c>
      <c r="R33" s="21" t="s">
        <v>227</v>
      </c>
      <c r="S33" s="21" t="s">
        <v>228</v>
      </c>
      <c r="T33" s="21" t="s">
        <v>229</v>
      </c>
      <c r="U33" s="21" t="s">
        <v>230</v>
      </c>
      <c r="V33" s="21" t="s">
        <v>231</v>
      </c>
      <c r="W33" s="21" t="s">
        <v>232</v>
      </c>
      <c r="X33" s="21" t="s">
        <v>233</v>
      </c>
      <c r="Y33" s="21" t="s">
        <v>234</v>
      </c>
      <c r="Z33" s="21" t="s">
        <v>235</v>
      </c>
      <c r="AA33" s="21" t="s">
        <v>236</v>
      </c>
      <c r="AB33" s="21" t="s">
        <v>237</v>
      </c>
      <c r="AC33" s="21" t="s">
        <v>238</v>
      </c>
    </row>
    <row r="34" spans="1:29" ht="39.6" x14ac:dyDescent="0.3">
      <c r="A34" s="20" t="s">
        <v>116</v>
      </c>
      <c r="B34" s="22" t="s">
        <v>118</v>
      </c>
      <c r="C34" s="22" t="s">
        <v>117</v>
      </c>
      <c r="D34" s="22" t="s">
        <v>239</v>
      </c>
      <c r="E34" s="22" t="s">
        <v>240</v>
      </c>
      <c r="F34" s="22" t="s">
        <v>241</v>
      </c>
      <c r="G34" s="22" t="s">
        <v>242</v>
      </c>
      <c r="H34" s="22" t="s">
        <v>243</v>
      </c>
      <c r="I34" s="22" t="s">
        <v>244</v>
      </c>
      <c r="J34" s="22" t="s">
        <v>245</v>
      </c>
      <c r="K34" s="22" t="s">
        <v>246</v>
      </c>
      <c r="L34" s="22" t="s">
        <v>247</v>
      </c>
      <c r="M34" s="22" t="s">
        <v>248</v>
      </c>
      <c r="N34" s="22" t="s">
        <v>249</v>
      </c>
      <c r="O34" s="22" t="s">
        <v>250</v>
      </c>
      <c r="P34" s="22" t="s">
        <v>251</v>
      </c>
      <c r="Q34" s="22" t="s">
        <v>252</v>
      </c>
      <c r="R34" s="22" t="s">
        <v>253</v>
      </c>
      <c r="S34" s="22" t="s">
        <v>254</v>
      </c>
      <c r="T34" s="22" t="s">
        <v>255</v>
      </c>
      <c r="U34" s="22" t="s">
        <v>256</v>
      </c>
      <c r="V34" s="22" t="s">
        <v>257</v>
      </c>
      <c r="W34" s="22" t="s">
        <v>258</v>
      </c>
      <c r="X34" s="22" t="s">
        <v>259</v>
      </c>
      <c r="Y34" s="22" t="s">
        <v>260</v>
      </c>
      <c r="Z34" s="22" t="s">
        <v>261</v>
      </c>
      <c r="AA34" s="22" t="s">
        <v>262</v>
      </c>
      <c r="AB34" s="22" t="s">
        <v>263</v>
      </c>
      <c r="AC34" s="22" t="s">
        <v>264</v>
      </c>
    </row>
    <row r="35" spans="1:29" ht="26.4" customHeight="1" x14ac:dyDescent="0.3">
      <c r="A35" s="20" t="s">
        <v>149</v>
      </c>
      <c r="B35" s="22" t="s">
        <v>150</v>
      </c>
      <c r="C35" s="22" t="s">
        <v>150</v>
      </c>
      <c r="D35" s="22" t="s">
        <v>150</v>
      </c>
      <c r="E35" s="22" t="s">
        <v>151</v>
      </c>
      <c r="F35" s="22" t="s">
        <v>151</v>
      </c>
      <c r="G35" s="22" t="s">
        <v>151</v>
      </c>
      <c r="H35" s="22" t="s">
        <v>265</v>
      </c>
      <c r="I35" s="22" t="s">
        <v>151</v>
      </c>
      <c r="J35" s="22" t="s">
        <v>151</v>
      </c>
      <c r="K35" s="22" t="s">
        <v>151</v>
      </c>
      <c r="L35" s="22" t="s">
        <v>150</v>
      </c>
      <c r="M35" s="22" t="s">
        <v>151</v>
      </c>
      <c r="N35" s="22" t="s">
        <v>151</v>
      </c>
      <c r="O35" s="22" t="s">
        <v>151</v>
      </c>
      <c r="P35" s="22" t="s">
        <v>151</v>
      </c>
      <c r="Q35" s="22" t="s">
        <v>151</v>
      </c>
      <c r="R35" s="22" t="s">
        <v>151</v>
      </c>
      <c r="S35" s="22" t="s">
        <v>151</v>
      </c>
      <c r="T35" s="22" t="s">
        <v>151</v>
      </c>
      <c r="U35" s="22" t="s">
        <v>265</v>
      </c>
      <c r="V35" s="22" t="s">
        <v>265</v>
      </c>
      <c r="W35" s="22" t="s">
        <v>151</v>
      </c>
      <c r="X35" s="22" t="s">
        <v>151</v>
      </c>
      <c r="Y35" s="22" t="s">
        <v>150</v>
      </c>
      <c r="Z35" s="22" t="s">
        <v>150</v>
      </c>
      <c r="AA35" s="22" t="s">
        <v>150</v>
      </c>
      <c r="AB35" s="22" t="s">
        <v>150</v>
      </c>
      <c r="AC35" s="22" t="s">
        <v>265</v>
      </c>
    </row>
    <row r="36" spans="1:29" ht="39.6" customHeight="1" x14ac:dyDescent="0.3">
      <c r="A36" s="20" t="s">
        <v>152</v>
      </c>
      <c r="B36" s="22" t="s">
        <v>266</v>
      </c>
      <c r="C36" s="22" t="s">
        <v>153</v>
      </c>
      <c r="D36" s="22" t="s">
        <v>154</v>
      </c>
      <c r="E36" s="22" t="s">
        <v>154</v>
      </c>
      <c r="F36" s="22" t="s">
        <v>154</v>
      </c>
      <c r="G36" s="22" t="s">
        <v>154</v>
      </c>
      <c r="H36" s="22" t="s">
        <v>154</v>
      </c>
      <c r="I36" s="22" t="s">
        <v>154</v>
      </c>
      <c r="J36" s="22" t="s">
        <v>154</v>
      </c>
      <c r="K36" s="22" t="s">
        <v>154</v>
      </c>
      <c r="L36" s="22" t="s">
        <v>154</v>
      </c>
      <c r="M36" s="22" t="s">
        <v>154</v>
      </c>
      <c r="N36" s="22" t="s">
        <v>154</v>
      </c>
      <c r="O36" s="22" t="s">
        <v>154</v>
      </c>
      <c r="P36" s="22" t="s">
        <v>154</v>
      </c>
      <c r="Q36" s="22" t="s">
        <v>154</v>
      </c>
      <c r="R36" s="22" t="s">
        <v>154</v>
      </c>
      <c r="S36" s="22" t="s">
        <v>154</v>
      </c>
      <c r="T36" s="22" t="s">
        <v>154</v>
      </c>
      <c r="U36" s="22" t="s">
        <v>154</v>
      </c>
      <c r="V36" s="22" t="s">
        <v>154</v>
      </c>
      <c r="W36" s="22" t="s">
        <v>154</v>
      </c>
      <c r="X36" s="22" t="s">
        <v>154</v>
      </c>
      <c r="Y36" s="22" t="s">
        <v>153</v>
      </c>
      <c r="Z36" s="22" t="s">
        <v>153</v>
      </c>
      <c r="AA36" s="22" t="s">
        <v>153</v>
      </c>
      <c r="AB36" s="22" t="s">
        <v>153</v>
      </c>
      <c r="AC36" s="22" t="s">
        <v>153</v>
      </c>
    </row>
    <row r="37" spans="1:29" ht="105.6" x14ac:dyDescent="0.3">
      <c r="A37" s="23" t="s">
        <v>155</v>
      </c>
      <c r="B37" s="22" t="s">
        <v>267</v>
      </c>
      <c r="C37" s="22" t="s">
        <v>268</v>
      </c>
      <c r="D37" s="22" t="s">
        <v>172</v>
      </c>
      <c r="E37" s="22" t="s">
        <v>269</v>
      </c>
      <c r="F37" s="22" t="s">
        <v>270</v>
      </c>
      <c r="G37" s="22" t="s">
        <v>271</v>
      </c>
      <c r="H37" s="22" t="s">
        <v>272</v>
      </c>
      <c r="I37" s="22" t="s">
        <v>273</v>
      </c>
      <c r="J37" s="22" t="s">
        <v>274</v>
      </c>
      <c r="K37" s="22" t="s">
        <v>274</v>
      </c>
      <c r="L37" s="22" t="s">
        <v>275</v>
      </c>
      <c r="M37" s="22" t="s">
        <v>268</v>
      </c>
      <c r="N37" s="22" t="s">
        <v>276</v>
      </c>
      <c r="O37" s="22" t="s">
        <v>277</v>
      </c>
      <c r="P37" s="22" t="s">
        <v>278</v>
      </c>
      <c r="Q37" s="22" t="s">
        <v>279</v>
      </c>
      <c r="R37" s="22" t="s">
        <v>280</v>
      </c>
      <c r="S37" s="22" t="s">
        <v>281</v>
      </c>
      <c r="T37" s="22" t="s">
        <v>282</v>
      </c>
      <c r="U37" s="22" t="s">
        <v>283</v>
      </c>
      <c r="V37" s="22" t="s">
        <v>284</v>
      </c>
      <c r="W37" s="22" t="s">
        <v>285</v>
      </c>
      <c r="X37" s="22" t="s">
        <v>286</v>
      </c>
      <c r="Y37" s="22" t="s">
        <v>287</v>
      </c>
      <c r="Z37" s="22" t="s">
        <v>288</v>
      </c>
      <c r="AA37" s="22" t="s">
        <v>289</v>
      </c>
      <c r="AB37" s="22" t="s">
        <v>290</v>
      </c>
      <c r="AC37" s="22" t="s">
        <v>291</v>
      </c>
    </row>
    <row r="38" spans="1:29" x14ac:dyDescent="0.3">
      <c r="A38" s="23" t="s">
        <v>175</v>
      </c>
      <c r="B38" s="24">
        <v>1212</v>
      </c>
      <c r="C38" s="24">
        <v>19</v>
      </c>
      <c r="D38" s="24">
        <v>1</v>
      </c>
      <c r="E38" s="24">
        <v>37</v>
      </c>
      <c r="F38" s="24">
        <v>920</v>
      </c>
      <c r="G38" s="24">
        <v>1</v>
      </c>
      <c r="H38" s="24">
        <v>72</v>
      </c>
      <c r="I38" s="24">
        <v>1</v>
      </c>
      <c r="J38" s="24">
        <v>1</v>
      </c>
      <c r="K38" s="24">
        <v>1</v>
      </c>
      <c r="L38" s="24">
        <v>1</v>
      </c>
      <c r="M38" s="24">
        <v>19</v>
      </c>
      <c r="N38" s="24">
        <v>1</v>
      </c>
      <c r="O38" s="24">
        <v>59</v>
      </c>
      <c r="P38" s="24">
        <v>14</v>
      </c>
      <c r="Q38" s="24">
        <v>14</v>
      </c>
      <c r="R38" s="24">
        <v>14</v>
      </c>
      <c r="S38" s="24">
        <v>2</v>
      </c>
      <c r="T38" s="24">
        <v>14</v>
      </c>
      <c r="U38" s="24">
        <v>103</v>
      </c>
      <c r="V38" s="24">
        <v>10</v>
      </c>
      <c r="W38" s="24">
        <v>3</v>
      </c>
      <c r="X38" s="24">
        <v>318</v>
      </c>
      <c r="Y38" s="24">
        <v>14</v>
      </c>
      <c r="Z38" s="24">
        <v>14</v>
      </c>
      <c r="AA38" s="24">
        <v>14</v>
      </c>
      <c r="AB38" s="24">
        <v>14</v>
      </c>
      <c r="AC38" s="24">
        <v>318</v>
      </c>
    </row>
    <row r="39" spans="1:29" ht="26.4" customHeight="1" x14ac:dyDescent="0.3">
      <c r="A39" s="23" t="s">
        <v>176</v>
      </c>
      <c r="B39" s="22" t="s">
        <v>178</v>
      </c>
      <c r="C39" s="22" t="s">
        <v>292</v>
      </c>
      <c r="D39" s="22" t="s">
        <v>293</v>
      </c>
      <c r="E39" s="22" t="s">
        <v>178</v>
      </c>
      <c r="F39" s="22" t="s">
        <v>178</v>
      </c>
      <c r="G39" s="22" t="s">
        <v>294</v>
      </c>
      <c r="H39" s="22" t="s">
        <v>178</v>
      </c>
      <c r="I39" s="22" t="s">
        <v>295</v>
      </c>
      <c r="J39" s="22" t="s">
        <v>296</v>
      </c>
      <c r="K39" s="22" t="s">
        <v>296</v>
      </c>
      <c r="L39" s="22" t="s">
        <v>297</v>
      </c>
      <c r="M39" s="22" t="s">
        <v>298</v>
      </c>
      <c r="N39" s="22" t="s">
        <v>299</v>
      </c>
      <c r="O39" s="22" t="s">
        <v>178</v>
      </c>
      <c r="P39" s="22" t="s">
        <v>300</v>
      </c>
      <c r="Q39" s="22" t="s">
        <v>301</v>
      </c>
      <c r="R39" s="22" t="s">
        <v>302</v>
      </c>
      <c r="S39" s="22" t="s">
        <v>303</v>
      </c>
      <c r="T39" s="22" t="s">
        <v>304</v>
      </c>
      <c r="U39" s="22" t="s">
        <v>178</v>
      </c>
      <c r="V39" s="22" t="s">
        <v>305</v>
      </c>
      <c r="W39" s="22" t="s">
        <v>306</v>
      </c>
      <c r="X39" s="22" t="s">
        <v>178</v>
      </c>
      <c r="Y39" s="22" t="s">
        <v>307</v>
      </c>
      <c r="Z39" s="22" t="s">
        <v>308</v>
      </c>
      <c r="AA39" s="22" t="s">
        <v>309</v>
      </c>
      <c r="AB39" s="22" t="s">
        <v>310</v>
      </c>
      <c r="AC39" s="22" t="s">
        <v>178</v>
      </c>
    </row>
    <row r="40" spans="1:29" x14ac:dyDescent="0.3">
      <c r="A40" s="23" t="s">
        <v>198</v>
      </c>
      <c r="B40" s="22" t="s">
        <v>199</v>
      </c>
      <c r="C40" s="22" t="s">
        <v>199</v>
      </c>
      <c r="D40" s="22" t="s">
        <v>199</v>
      </c>
      <c r="E40" s="22" t="s">
        <v>311</v>
      </c>
      <c r="F40" s="22" t="s">
        <v>199</v>
      </c>
      <c r="G40" s="22" t="s">
        <v>199</v>
      </c>
      <c r="H40" s="22" t="s">
        <v>312</v>
      </c>
      <c r="I40" s="22" t="s">
        <v>199</v>
      </c>
      <c r="J40" s="22" t="s">
        <v>199</v>
      </c>
      <c r="K40" s="22" t="s">
        <v>199</v>
      </c>
      <c r="L40" s="22" t="s">
        <v>199</v>
      </c>
      <c r="M40" s="22" t="s">
        <v>199</v>
      </c>
      <c r="N40" s="22" t="s">
        <v>199</v>
      </c>
      <c r="O40" s="22" t="s">
        <v>199</v>
      </c>
      <c r="P40" s="22" t="s">
        <v>199</v>
      </c>
      <c r="Q40" s="22" t="s">
        <v>199</v>
      </c>
      <c r="R40" s="22" t="s">
        <v>199</v>
      </c>
      <c r="S40" s="22" t="s">
        <v>199</v>
      </c>
      <c r="T40" s="22" t="s">
        <v>199</v>
      </c>
      <c r="U40" s="22" t="s">
        <v>313</v>
      </c>
      <c r="V40" s="22" t="s">
        <v>314</v>
      </c>
      <c r="W40" s="22" t="s">
        <v>199</v>
      </c>
      <c r="X40" s="22" t="s">
        <v>315</v>
      </c>
      <c r="Y40" s="22" t="s">
        <v>199</v>
      </c>
      <c r="Z40" s="22" t="s">
        <v>199</v>
      </c>
      <c r="AA40" s="22" t="s">
        <v>199</v>
      </c>
      <c r="AB40" s="22" t="s">
        <v>199</v>
      </c>
      <c r="AC40" s="22" t="s">
        <v>315</v>
      </c>
    </row>
    <row r="41" spans="1:29" ht="79.2" customHeight="1" x14ac:dyDescent="0.3">
      <c r="A41" s="23" t="s">
        <v>203</v>
      </c>
      <c r="B41" s="22" t="s">
        <v>204</v>
      </c>
      <c r="C41" s="22" t="s">
        <v>204</v>
      </c>
      <c r="D41" s="22" t="s">
        <v>204</v>
      </c>
      <c r="E41" s="22" t="s">
        <v>316</v>
      </c>
      <c r="F41" s="22" t="s">
        <v>204</v>
      </c>
      <c r="G41" s="22" t="s">
        <v>204</v>
      </c>
      <c r="H41" s="22" t="s">
        <v>317</v>
      </c>
      <c r="I41" s="22" t="s">
        <v>204</v>
      </c>
      <c r="J41" s="22" t="s">
        <v>204</v>
      </c>
      <c r="K41" s="22" t="s">
        <v>204</v>
      </c>
      <c r="L41" s="22" t="s">
        <v>204</v>
      </c>
      <c r="M41" s="22" t="s">
        <v>204</v>
      </c>
      <c r="N41" s="22" t="s">
        <v>204</v>
      </c>
      <c r="O41" s="22" t="s">
        <v>204</v>
      </c>
      <c r="P41" s="22" t="s">
        <v>204</v>
      </c>
      <c r="Q41" s="22" t="s">
        <v>204</v>
      </c>
      <c r="R41" s="22" t="s">
        <v>204</v>
      </c>
      <c r="S41" s="22" t="s">
        <v>204</v>
      </c>
      <c r="T41" s="22" t="s">
        <v>204</v>
      </c>
      <c r="U41" s="22" t="s">
        <v>318</v>
      </c>
      <c r="V41" s="22" t="s">
        <v>319</v>
      </c>
      <c r="W41" s="22" t="s">
        <v>204</v>
      </c>
      <c r="X41" s="22" t="s">
        <v>320</v>
      </c>
      <c r="Y41" s="22" t="s">
        <v>204</v>
      </c>
      <c r="Z41" s="22" t="s">
        <v>204</v>
      </c>
      <c r="AA41" s="22" t="s">
        <v>204</v>
      </c>
      <c r="AB41" s="22" t="s">
        <v>204</v>
      </c>
      <c r="AC41" s="22" t="s">
        <v>320</v>
      </c>
    </row>
    <row r="42" spans="1:29" x14ac:dyDescent="0.3">
      <c r="A42" s="23"/>
      <c r="B42" s="22"/>
      <c r="C42" s="22"/>
      <c r="D42" s="22"/>
      <c r="E42" s="22"/>
      <c r="F42" s="22"/>
      <c r="G42" s="22"/>
      <c r="H42" s="22"/>
      <c r="I42" s="22"/>
      <c r="J42" s="22"/>
      <c r="K42" s="22"/>
      <c r="L42" s="22"/>
      <c r="M42" s="22"/>
      <c r="N42" s="22"/>
      <c r="O42" s="22"/>
      <c r="P42" s="22"/>
      <c r="Q42" s="22"/>
      <c r="R42" s="22"/>
      <c r="S42" s="22"/>
      <c r="T42" s="22"/>
      <c r="U42" s="22"/>
    </row>
    <row r="43" spans="1:29" ht="118.8" customHeight="1" x14ac:dyDescent="0.3">
      <c r="A43" s="23"/>
      <c r="B43" s="22"/>
      <c r="C43" s="22"/>
      <c r="D43" s="22"/>
      <c r="E43" s="22"/>
      <c r="F43" s="22"/>
      <c r="G43" s="22"/>
      <c r="H43" s="22"/>
      <c r="I43" s="22"/>
      <c r="J43" s="22"/>
      <c r="K43" s="22"/>
      <c r="L43" s="22"/>
      <c r="M43" s="22"/>
      <c r="N43" s="22"/>
      <c r="O43" s="22"/>
      <c r="P43" s="22"/>
      <c r="Q43" s="22"/>
      <c r="R43" s="22"/>
      <c r="S43" s="22"/>
      <c r="T43" s="22"/>
      <c r="U43" s="22"/>
    </row>
    <row r="44" spans="1:29" x14ac:dyDescent="0.3">
      <c r="A44" s="14" t="s">
        <v>66</v>
      </c>
      <c r="B44" s="33" t="s">
        <v>321</v>
      </c>
      <c r="C44" s="34"/>
      <c r="D44" s="34"/>
      <c r="E44" s="34"/>
      <c r="F44" s="34"/>
      <c r="G44" s="35"/>
    </row>
    <row r="45" spans="1:29" x14ac:dyDescent="0.3">
      <c r="A45" s="14" t="s">
        <v>67</v>
      </c>
      <c r="B45" s="36" t="s">
        <v>322</v>
      </c>
      <c r="C45" s="38"/>
      <c r="D45" s="38"/>
      <c r="E45" s="38"/>
      <c r="F45" s="38"/>
      <c r="G45" s="37"/>
    </row>
    <row r="46" spans="1:29" x14ac:dyDescent="0.3">
      <c r="A46" s="14" t="s">
        <v>69</v>
      </c>
      <c r="B46" s="1" t="s">
        <v>70</v>
      </c>
      <c r="C46" s="1" t="s">
        <v>71</v>
      </c>
      <c r="D46" s="1" t="s">
        <v>72</v>
      </c>
      <c r="E46" s="31"/>
      <c r="F46" s="31"/>
      <c r="G46" s="31"/>
    </row>
    <row r="47" spans="1:29" ht="26.4" x14ac:dyDescent="0.3">
      <c r="A47" s="14"/>
      <c r="B47" s="15" t="s">
        <v>73</v>
      </c>
      <c r="C47" s="15" t="s">
        <v>323</v>
      </c>
      <c r="D47" s="2" t="s">
        <v>75</v>
      </c>
      <c r="E47" s="31"/>
      <c r="F47" s="31"/>
      <c r="G47" s="31"/>
    </row>
    <row r="48" spans="1:29" x14ac:dyDescent="0.3">
      <c r="A48" s="16" t="s">
        <v>76</v>
      </c>
      <c r="B48" s="33" t="s">
        <v>324</v>
      </c>
      <c r="C48" s="34"/>
      <c r="D48" s="34"/>
      <c r="E48" s="34"/>
      <c r="F48" s="34"/>
      <c r="G48" s="35"/>
    </row>
    <row r="49" spans="1:7" x14ac:dyDescent="0.3">
      <c r="A49" s="16" t="s">
        <v>78</v>
      </c>
      <c r="B49" s="36" t="s">
        <v>325</v>
      </c>
      <c r="C49" s="38"/>
      <c r="D49" s="38"/>
      <c r="E49" s="38"/>
      <c r="F49" s="38"/>
      <c r="G49" s="37"/>
    </row>
    <row r="50" spans="1:7" x14ac:dyDescent="0.3">
      <c r="A50" s="16" t="s">
        <v>80</v>
      </c>
      <c r="B50" s="1" t="s">
        <v>81</v>
      </c>
      <c r="C50" s="1" t="s">
        <v>82</v>
      </c>
      <c r="D50" s="17"/>
      <c r="E50" s="17"/>
      <c r="F50" s="17"/>
      <c r="G50" s="17"/>
    </row>
    <row r="51" spans="1:7" x14ac:dyDescent="0.3">
      <c r="A51" s="16"/>
      <c r="B51" s="18">
        <v>799</v>
      </c>
      <c r="C51" s="18">
        <v>6</v>
      </c>
      <c r="D51" s="19"/>
      <c r="E51" s="19"/>
      <c r="F51" s="19"/>
      <c r="G51" s="19"/>
    </row>
    <row r="53" spans="1:7" x14ac:dyDescent="0.3">
      <c r="A53" s="20" t="s">
        <v>83</v>
      </c>
      <c r="B53" s="21" t="s">
        <v>326</v>
      </c>
      <c r="C53" s="21" t="s">
        <v>327</v>
      </c>
      <c r="D53" s="21" t="s">
        <v>328</v>
      </c>
      <c r="E53" s="21" t="s">
        <v>329</v>
      </c>
      <c r="F53" s="21" t="s">
        <v>330</v>
      </c>
      <c r="G53" s="21" t="s">
        <v>331</v>
      </c>
    </row>
    <row r="54" spans="1:7" ht="39.6" x14ac:dyDescent="0.3">
      <c r="A54" s="20" t="s">
        <v>116</v>
      </c>
      <c r="B54" s="22" t="s">
        <v>332</v>
      </c>
      <c r="C54" s="22" t="s">
        <v>333</v>
      </c>
      <c r="D54" s="22" t="s">
        <v>334</v>
      </c>
      <c r="E54" s="22" t="s">
        <v>335</v>
      </c>
      <c r="F54" s="22" t="s">
        <v>336</v>
      </c>
      <c r="G54" s="22" t="s">
        <v>337</v>
      </c>
    </row>
    <row r="55" spans="1:7" x14ac:dyDescent="0.3">
      <c r="A55" s="20" t="s">
        <v>149</v>
      </c>
      <c r="B55" s="22" t="s">
        <v>150</v>
      </c>
      <c r="C55" s="22" t="s">
        <v>151</v>
      </c>
      <c r="D55" s="22" t="s">
        <v>151</v>
      </c>
      <c r="E55" s="22" t="s">
        <v>151</v>
      </c>
      <c r="F55" s="22" t="s">
        <v>151</v>
      </c>
      <c r="G55" s="22" t="s">
        <v>151</v>
      </c>
    </row>
    <row r="56" spans="1:7" x14ac:dyDescent="0.3">
      <c r="A56" s="20" t="s">
        <v>152</v>
      </c>
      <c r="B56" s="22" t="s">
        <v>266</v>
      </c>
      <c r="C56" s="22" t="s">
        <v>154</v>
      </c>
      <c r="D56" s="22" t="s">
        <v>154</v>
      </c>
      <c r="E56" s="22" t="s">
        <v>154</v>
      </c>
      <c r="F56" s="22" t="s">
        <v>154</v>
      </c>
      <c r="G56" s="22" t="s">
        <v>154</v>
      </c>
    </row>
    <row r="57" spans="1:7" ht="66" x14ac:dyDescent="0.3">
      <c r="A57" s="23" t="s">
        <v>155</v>
      </c>
      <c r="B57" s="22" t="s">
        <v>338</v>
      </c>
      <c r="C57" s="22" t="s">
        <v>339</v>
      </c>
      <c r="D57" s="22" t="s">
        <v>340</v>
      </c>
      <c r="E57" s="22" t="s">
        <v>341</v>
      </c>
      <c r="F57" s="22" t="s">
        <v>342</v>
      </c>
      <c r="G57" s="22" t="s">
        <v>343</v>
      </c>
    </row>
    <row r="58" spans="1:7" x14ac:dyDescent="0.3">
      <c r="A58" s="23" t="s">
        <v>175</v>
      </c>
      <c r="B58" s="24">
        <v>799</v>
      </c>
      <c r="C58" s="24">
        <v>799</v>
      </c>
      <c r="D58" s="24">
        <v>2</v>
      </c>
      <c r="E58" s="24">
        <v>23</v>
      </c>
      <c r="F58" s="24">
        <v>7</v>
      </c>
      <c r="G58" s="24">
        <v>799</v>
      </c>
    </row>
    <row r="59" spans="1:7" ht="118.8" x14ac:dyDescent="0.3">
      <c r="A59" s="23" t="s">
        <v>176</v>
      </c>
      <c r="B59" s="22" t="s">
        <v>178</v>
      </c>
      <c r="C59" s="22" t="s">
        <v>178</v>
      </c>
      <c r="D59" s="22" t="s">
        <v>344</v>
      </c>
      <c r="E59" s="22" t="s">
        <v>178</v>
      </c>
      <c r="F59" s="22" t="s">
        <v>345</v>
      </c>
      <c r="G59" s="22" t="s">
        <v>178</v>
      </c>
    </row>
    <row r="60" spans="1:7" x14ac:dyDescent="0.3">
      <c r="A60" s="23" t="s">
        <v>198</v>
      </c>
      <c r="B60" s="22" t="s">
        <v>199</v>
      </c>
      <c r="C60" s="22" t="s">
        <v>199</v>
      </c>
      <c r="D60" s="22" t="s">
        <v>199</v>
      </c>
      <c r="E60" s="22" t="s">
        <v>346</v>
      </c>
      <c r="F60" s="22" t="s">
        <v>347</v>
      </c>
      <c r="G60" s="22" t="s">
        <v>199</v>
      </c>
    </row>
    <row r="61" spans="1:7" ht="26.4" x14ac:dyDescent="0.3">
      <c r="A61" s="23" t="s">
        <v>203</v>
      </c>
      <c r="B61" s="22" t="s">
        <v>204</v>
      </c>
      <c r="C61" s="22" t="s">
        <v>204</v>
      </c>
      <c r="D61" s="22" t="s">
        <v>204</v>
      </c>
      <c r="E61" s="22" t="s">
        <v>348</v>
      </c>
      <c r="F61" s="22" t="s">
        <v>349</v>
      </c>
      <c r="G61" s="22" t="s">
        <v>204</v>
      </c>
    </row>
    <row r="64" spans="1:7" x14ac:dyDescent="0.3">
      <c r="A64" s="14" t="s">
        <v>66</v>
      </c>
      <c r="B64" s="33" t="s">
        <v>350</v>
      </c>
      <c r="C64" s="35"/>
    </row>
    <row r="65" spans="1:4" x14ac:dyDescent="0.3">
      <c r="A65" s="14" t="s">
        <v>67</v>
      </c>
      <c r="B65" s="36" t="s">
        <v>351</v>
      </c>
      <c r="C65" s="37"/>
    </row>
    <row r="66" spans="1:4" x14ac:dyDescent="0.3">
      <c r="A66" s="14" t="s">
        <v>69</v>
      </c>
      <c r="B66" s="1" t="s">
        <v>70</v>
      </c>
      <c r="C66" s="1" t="s">
        <v>71</v>
      </c>
      <c r="D66" t="s">
        <v>72</v>
      </c>
    </row>
    <row r="67" spans="1:4" x14ac:dyDescent="0.3">
      <c r="A67" s="14"/>
      <c r="B67" s="15" t="s">
        <v>73</v>
      </c>
      <c r="C67" s="15" t="s">
        <v>352</v>
      </c>
      <c r="D67" t="s">
        <v>75</v>
      </c>
    </row>
    <row r="68" spans="1:4" x14ac:dyDescent="0.3">
      <c r="A68" s="16" t="s">
        <v>76</v>
      </c>
      <c r="B68" s="33" t="s">
        <v>353</v>
      </c>
      <c r="C68" s="35"/>
    </row>
    <row r="69" spans="1:4" x14ac:dyDescent="0.3">
      <c r="A69" s="16" t="s">
        <v>78</v>
      </c>
      <c r="B69" s="36" t="s">
        <v>354</v>
      </c>
      <c r="C69" s="37"/>
    </row>
    <row r="70" spans="1:4" x14ac:dyDescent="0.3">
      <c r="A70" s="16" t="s">
        <v>80</v>
      </c>
      <c r="B70" s="1" t="s">
        <v>81</v>
      </c>
      <c r="C70" s="1" t="s">
        <v>82</v>
      </c>
    </row>
    <row r="71" spans="1:4" x14ac:dyDescent="0.3">
      <c r="A71" s="16"/>
      <c r="B71" s="18">
        <v>16</v>
      </c>
      <c r="C71" s="18">
        <v>2</v>
      </c>
    </row>
    <row r="73" spans="1:4" x14ac:dyDescent="0.3">
      <c r="A73" s="20" t="s">
        <v>83</v>
      </c>
      <c r="B73" s="21" t="s">
        <v>355</v>
      </c>
      <c r="C73" s="21" t="s">
        <v>356</v>
      </c>
    </row>
    <row r="74" spans="1:4" ht="39.6" x14ac:dyDescent="0.3">
      <c r="A74" s="20" t="s">
        <v>116</v>
      </c>
      <c r="B74" s="22" t="s">
        <v>357</v>
      </c>
      <c r="C74" s="22" t="s">
        <v>358</v>
      </c>
    </row>
    <row r="75" spans="1:4" x14ac:dyDescent="0.3">
      <c r="A75" s="20" t="s">
        <v>149</v>
      </c>
      <c r="B75" s="22" t="s">
        <v>150</v>
      </c>
      <c r="C75" s="22" t="s">
        <v>151</v>
      </c>
    </row>
    <row r="76" spans="1:4" x14ac:dyDescent="0.3">
      <c r="A76" s="20" t="s">
        <v>152</v>
      </c>
      <c r="B76" s="22" t="s">
        <v>266</v>
      </c>
      <c r="C76" s="22" t="s">
        <v>154</v>
      </c>
    </row>
    <row r="77" spans="1:4" ht="66" x14ac:dyDescent="0.3">
      <c r="A77" s="23" t="s">
        <v>155</v>
      </c>
      <c r="B77" s="22" t="s">
        <v>359</v>
      </c>
      <c r="C77" s="22" t="s">
        <v>360</v>
      </c>
    </row>
    <row r="78" spans="1:4" x14ac:dyDescent="0.3">
      <c r="A78" s="23" t="s">
        <v>175</v>
      </c>
      <c r="B78" s="24">
        <v>16</v>
      </c>
      <c r="C78" s="24">
        <v>16</v>
      </c>
    </row>
    <row r="79" spans="1:4" ht="277.2" x14ac:dyDescent="0.3">
      <c r="A79" s="23" t="s">
        <v>176</v>
      </c>
      <c r="B79" s="22" t="s">
        <v>361</v>
      </c>
      <c r="C79" s="22" t="s">
        <v>362</v>
      </c>
    </row>
    <row r="80" spans="1:4" x14ac:dyDescent="0.3">
      <c r="A80" s="23" t="s">
        <v>198</v>
      </c>
      <c r="B80" s="22" t="s">
        <v>199</v>
      </c>
      <c r="C80" s="22" t="s">
        <v>199</v>
      </c>
    </row>
    <row r="81" spans="1:4" ht="26.4" x14ac:dyDescent="0.3">
      <c r="A81" s="23" t="s">
        <v>203</v>
      </c>
      <c r="B81" s="22" t="s">
        <v>204</v>
      </c>
      <c r="C81" s="22" t="s">
        <v>204</v>
      </c>
    </row>
    <row r="84" spans="1:4" x14ac:dyDescent="0.3">
      <c r="A84" s="14" t="s">
        <v>66</v>
      </c>
      <c r="B84" s="33" t="s">
        <v>363</v>
      </c>
      <c r="C84" s="34"/>
      <c r="D84" s="35"/>
    </row>
    <row r="85" spans="1:4" x14ac:dyDescent="0.3">
      <c r="A85" s="14" t="s">
        <v>67</v>
      </c>
      <c r="B85" s="36" t="s">
        <v>364</v>
      </c>
      <c r="C85" s="38"/>
      <c r="D85" s="37"/>
    </row>
    <row r="86" spans="1:4" x14ac:dyDescent="0.3">
      <c r="A86" s="14" t="s">
        <v>69</v>
      </c>
      <c r="B86" s="1" t="s">
        <v>70</v>
      </c>
      <c r="C86" s="1" t="s">
        <v>71</v>
      </c>
      <c r="D86" s="1" t="s">
        <v>72</v>
      </c>
    </row>
    <row r="87" spans="1:4" ht="26.4" x14ac:dyDescent="0.3">
      <c r="A87" s="14"/>
      <c r="B87" s="15" t="s">
        <v>73</v>
      </c>
      <c r="C87" s="15" t="s">
        <v>352</v>
      </c>
      <c r="D87" s="2" t="s">
        <v>75</v>
      </c>
    </row>
    <row r="88" spans="1:4" x14ac:dyDescent="0.3">
      <c r="A88" s="16" t="s">
        <v>76</v>
      </c>
      <c r="B88" s="33" t="s">
        <v>365</v>
      </c>
      <c r="C88" s="34"/>
      <c r="D88" s="35"/>
    </row>
    <row r="89" spans="1:4" x14ac:dyDescent="0.3">
      <c r="A89" s="16" t="s">
        <v>78</v>
      </c>
      <c r="B89" s="36" t="s">
        <v>366</v>
      </c>
      <c r="C89" s="38"/>
      <c r="D89" s="37"/>
    </row>
    <row r="90" spans="1:4" x14ac:dyDescent="0.3">
      <c r="A90" s="16" t="s">
        <v>80</v>
      </c>
      <c r="B90" s="1" t="s">
        <v>81</v>
      </c>
      <c r="C90" s="1" t="s">
        <v>82</v>
      </c>
      <c r="D90" s="17"/>
    </row>
    <row r="91" spans="1:4" x14ac:dyDescent="0.3">
      <c r="A91" s="16"/>
      <c r="B91" s="18">
        <v>63</v>
      </c>
      <c r="C91" s="18">
        <v>3</v>
      </c>
      <c r="D91" s="19"/>
    </row>
    <row r="93" spans="1:4" x14ac:dyDescent="0.3">
      <c r="A93" s="20" t="s">
        <v>83</v>
      </c>
      <c r="B93" s="21" t="s">
        <v>367</v>
      </c>
      <c r="C93" s="21" t="s">
        <v>224</v>
      </c>
      <c r="D93" s="21" t="s">
        <v>214</v>
      </c>
    </row>
    <row r="94" spans="1:4" ht="39.6" x14ac:dyDescent="0.3">
      <c r="A94" s="20" t="s">
        <v>116</v>
      </c>
      <c r="B94" s="22" t="s">
        <v>368</v>
      </c>
      <c r="C94" s="22" t="s">
        <v>250</v>
      </c>
      <c r="D94" s="22" t="s">
        <v>240</v>
      </c>
    </row>
    <row r="95" spans="1:4" x14ac:dyDescent="0.3">
      <c r="A95" s="20" t="s">
        <v>149</v>
      </c>
      <c r="B95" s="22" t="s">
        <v>150</v>
      </c>
      <c r="C95" s="22" t="s">
        <v>151</v>
      </c>
      <c r="D95" s="22" t="s">
        <v>151</v>
      </c>
    </row>
    <row r="96" spans="1:4" x14ac:dyDescent="0.3">
      <c r="A96" s="20" t="s">
        <v>152</v>
      </c>
      <c r="B96" s="22" t="s">
        <v>266</v>
      </c>
      <c r="C96" s="22" t="s">
        <v>154</v>
      </c>
      <c r="D96" s="22" t="s">
        <v>154</v>
      </c>
    </row>
    <row r="97" spans="1:4" ht="105.6" x14ac:dyDescent="0.3">
      <c r="A97" s="23" t="s">
        <v>155</v>
      </c>
      <c r="B97" s="22" t="s">
        <v>359</v>
      </c>
      <c r="C97" s="22" t="s">
        <v>277</v>
      </c>
      <c r="D97" s="22" t="s">
        <v>269</v>
      </c>
    </row>
    <row r="98" spans="1:4" x14ac:dyDescent="0.3">
      <c r="A98" s="23" t="s">
        <v>175</v>
      </c>
      <c r="B98" s="24">
        <v>63</v>
      </c>
      <c r="C98" s="24">
        <v>59</v>
      </c>
      <c r="D98" s="24">
        <v>37</v>
      </c>
    </row>
    <row r="99" spans="1:4" x14ac:dyDescent="0.3">
      <c r="A99" s="23" t="s">
        <v>176</v>
      </c>
      <c r="B99" s="22" t="s">
        <v>178</v>
      </c>
      <c r="C99" s="22" t="s">
        <v>178</v>
      </c>
      <c r="D99" s="22" t="s">
        <v>178</v>
      </c>
    </row>
    <row r="100" spans="1:4" x14ac:dyDescent="0.3">
      <c r="A100" s="23" t="s">
        <v>198</v>
      </c>
      <c r="B100" s="22" t="s">
        <v>199</v>
      </c>
      <c r="C100" s="22" t="s">
        <v>199</v>
      </c>
      <c r="D100" s="22" t="s">
        <v>369</v>
      </c>
    </row>
    <row r="101" spans="1:4" ht="26.4" x14ac:dyDescent="0.3">
      <c r="A101" s="23" t="s">
        <v>203</v>
      </c>
      <c r="B101" s="22" t="s">
        <v>204</v>
      </c>
      <c r="C101" s="22" t="s">
        <v>204</v>
      </c>
      <c r="D101" s="22" t="s">
        <v>370</v>
      </c>
    </row>
  </sheetData>
  <mergeCells count="20">
    <mergeCell ref="B89:D89"/>
    <mergeCell ref="B29:AC29"/>
    <mergeCell ref="B25:AC25"/>
    <mergeCell ref="B5:AG5"/>
    <mergeCell ref="B85:D85"/>
    <mergeCell ref="B28:AC28"/>
    <mergeCell ref="B8:AG8"/>
    <mergeCell ref="B45:G45"/>
    <mergeCell ref="B4:AG4"/>
    <mergeCell ref="B88:D88"/>
    <mergeCell ref="B44:G44"/>
    <mergeCell ref="B65:C65"/>
    <mergeCell ref="B24:AC24"/>
    <mergeCell ref="B68:C68"/>
    <mergeCell ref="B64:C64"/>
    <mergeCell ref="B9:AG9"/>
    <mergeCell ref="B84:D84"/>
    <mergeCell ref="B49:G49"/>
    <mergeCell ref="B48:G48"/>
    <mergeCell ref="B69:C69"/>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41" t="s">
        <v>0</v>
      </c>
      <c r="B1" s="40"/>
      <c r="C1" s="40"/>
      <c r="D1" s="40"/>
      <c r="E1" s="40"/>
      <c r="F1" s="40"/>
    </row>
    <row r="2" spans="1:6" x14ac:dyDescent="0.3">
      <c r="A2" s="39" t="s">
        <v>1</v>
      </c>
      <c r="B2" s="40"/>
      <c r="C2" s="40"/>
      <c r="D2" s="40"/>
      <c r="E2" s="40"/>
      <c r="F2" s="40"/>
    </row>
    <row r="4" spans="1:6" ht="27.6" customHeight="1" x14ac:dyDescent="0.3">
      <c r="A4" s="26" t="s">
        <v>2</v>
      </c>
      <c r="B4" s="26" t="s">
        <v>3</v>
      </c>
      <c r="C4" s="26" t="s">
        <v>4</v>
      </c>
      <c r="D4" s="26" t="s">
        <v>5</v>
      </c>
      <c r="E4" s="26" t="s">
        <v>6</v>
      </c>
      <c r="F4" s="26" t="s">
        <v>7</v>
      </c>
    </row>
    <row r="5" spans="1:6" ht="26.4" customHeight="1" x14ac:dyDescent="0.3">
      <c r="A5" s="22" t="s">
        <v>8</v>
      </c>
      <c r="B5" s="22" t="s">
        <v>9</v>
      </c>
      <c r="C5" s="22" t="s">
        <v>10</v>
      </c>
      <c r="D5" s="22" t="s">
        <v>9</v>
      </c>
      <c r="E5" s="22" t="s">
        <v>11</v>
      </c>
      <c r="F5" s="22" t="s">
        <v>12</v>
      </c>
    </row>
    <row r="6" spans="1:6" x14ac:dyDescent="0.3">
      <c r="A6" s="25"/>
      <c r="B6" s="25"/>
      <c r="C6" s="25"/>
      <c r="D6" s="25"/>
      <c r="E6" s="25"/>
      <c r="F6" s="25"/>
    </row>
    <row r="7" spans="1:6" x14ac:dyDescent="0.3">
      <c r="A7" s="25"/>
      <c r="B7" s="25"/>
      <c r="C7" s="25"/>
      <c r="D7" s="25"/>
      <c r="E7" s="25"/>
      <c r="F7" s="25"/>
    </row>
    <row r="8" spans="1:6" x14ac:dyDescent="0.3">
      <c r="A8" s="25"/>
      <c r="B8" s="25"/>
      <c r="C8" s="25"/>
      <c r="D8" s="25"/>
      <c r="E8" s="25"/>
      <c r="F8" s="25"/>
    </row>
    <row r="9" spans="1:6" x14ac:dyDescent="0.3">
      <c r="A9" s="25"/>
      <c r="B9" s="25"/>
      <c r="C9" s="25"/>
      <c r="D9" s="25"/>
      <c r="E9" s="25"/>
      <c r="F9" s="25"/>
    </row>
    <row r="10" spans="1:6" x14ac:dyDescent="0.3">
      <c r="A10" s="25"/>
      <c r="B10" s="25"/>
      <c r="C10" s="25"/>
      <c r="D10" s="25"/>
      <c r="E10" s="25"/>
      <c r="F10" s="25"/>
    </row>
    <row r="11" spans="1:6" x14ac:dyDescent="0.3">
      <c r="A11" s="25"/>
      <c r="B11" s="25"/>
      <c r="C11" s="25"/>
      <c r="D11" s="25"/>
      <c r="E11" s="25"/>
      <c r="F11" s="25"/>
    </row>
    <row r="12" spans="1:6" x14ac:dyDescent="0.3">
      <c r="A12" s="25"/>
      <c r="B12" s="25"/>
      <c r="C12" s="25"/>
      <c r="D12" s="25"/>
      <c r="E12" s="25"/>
      <c r="F12" s="25"/>
    </row>
    <row r="13" spans="1:6" x14ac:dyDescent="0.3">
      <c r="A13" s="25"/>
      <c r="B13" s="25"/>
      <c r="C13" s="25"/>
      <c r="D13" s="25"/>
      <c r="E13" s="25"/>
      <c r="F13" s="25"/>
    </row>
    <row r="14" spans="1:6" x14ac:dyDescent="0.3">
      <c r="A14" s="25"/>
      <c r="B14" s="25"/>
      <c r="C14" s="25"/>
      <c r="D14" s="25"/>
      <c r="E14" s="25"/>
      <c r="F14" s="25"/>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41" t="s">
        <v>24</v>
      </c>
      <c r="B1" s="40"/>
      <c r="C1" s="40"/>
      <c r="D1" s="40"/>
      <c r="E1" s="40"/>
      <c r="F1" s="40"/>
    </row>
    <row r="2" spans="1:6" x14ac:dyDescent="0.3">
      <c r="A2" s="39" t="s">
        <v>371</v>
      </c>
      <c r="B2" s="40"/>
      <c r="C2" s="40"/>
      <c r="D2" s="40"/>
      <c r="E2" s="40"/>
      <c r="F2" s="40"/>
    </row>
    <row r="4" spans="1:6" ht="27.6" customHeight="1" x14ac:dyDescent="0.3">
      <c r="A4" s="26" t="s">
        <v>372</v>
      </c>
      <c r="B4" s="26" t="s">
        <v>373</v>
      </c>
      <c r="C4" s="26" t="s">
        <v>374</v>
      </c>
      <c r="D4" s="26" t="s">
        <v>375</v>
      </c>
      <c r="E4" s="26" t="s">
        <v>376</v>
      </c>
      <c r="F4" s="26" t="s">
        <v>377</v>
      </c>
    </row>
    <row r="5" spans="1:6" ht="39.6" customHeight="1" x14ac:dyDescent="0.3">
      <c r="A5" s="22">
        <v>1</v>
      </c>
      <c r="B5" s="22" t="s">
        <v>378</v>
      </c>
      <c r="C5" s="22" t="s">
        <v>379</v>
      </c>
      <c r="D5" s="22" t="s">
        <v>380</v>
      </c>
      <c r="E5" s="22" t="s">
        <v>381</v>
      </c>
      <c r="F5" s="22" t="s">
        <v>382</v>
      </c>
    </row>
    <row r="6" spans="1:6" x14ac:dyDescent="0.3">
      <c r="A6" s="25">
        <f t="shared" ref="A6:A20" si="0">ROW()-5</f>
        <v>1</v>
      </c>
      <c r="B6" s="25"/>
      <c r="C6" s="25"/>
      <c r="D6" s="25"/>
      <c r="E6" s="25"/>
      <c r="F6" s="25"/>
    </row>
    <row r="7" spans="1:6" x14ac:dyDescent="0.3">
      <c r="A7" s="25">
        <f t="shared" si="0"/>
        <v>2</v>
      </c>
      <c r="B7" s="25"/>
      <c r="C7" s="25"/>
      <c r="D7" s="25"/>
      <c r="E7" s="25"/>
      <c r="F7" s="25"/>
    </row>
    <row r="8" spans="1:6" x14ac:dyDescent="0.3">
      <c r="A8" s="25">
        <f t="shared" si="0"/>
        <v>3</v>
      </c>
      <c r="B8" s="25"/>
      <c r="C8" s="25"/>
      <c r="D8" s="25"/>
      <c r="E8" s="25"/>
      <c r="F8" s="25"/>
    </row>
    <row r="9" spans="1:6" x14ac:dyDescent="0.3">
      <c r="A9" s="25">
        <f t="shared" si="0"/>
        <v>4</v>
      </c>
      <c r="B9" s="25"/>
      <c r="C9" s="25"/>
      <c r="D9" s="25"/>
      <c r="E9" s="25"/>
      <c r="F9" s="25"/>
    </row>
    <row r="10" spans="1:6" x14ac:dyDescent="0.3">
      <c r="A10" s="25">
        <f t="shared" si="0"/>
        <v>5</v>
      </c>
      <c r="B10" s="25"/>
      <c r="C10" s="25"/>
      <c r="D10" s="25"/>
      <c r="E10" s="25"/>
      <c r="F10" s="25"/>
    </row>
    <row r="11" spans="1:6" x14ac:dyDescent="0.3">
      <c r="A11" s="25">
        <f t="shared" si="0"/>
        <v>6</v>
      </c>
      <c r="B11" s="25"/>
      <c r="C11" s="25"/>
      <c r="D11" s="25"/>
      <c r="E11" s="25"/>
      <c r="F11" s="25"/>
    </row>
    <row r="12" spans="1:6" x14ac:dyDescent="0.3">
      <c r="A12" s="25">
        <f t="shared" si="0"/>
        <v>7</v>
      </c>
      <c r="B12" s="25"/>
      <c r="C12" s="25"/>
      <c r="D12" s="25"/>
      <c r="E12" s="25"/>
      <c r="F12" s="25"/>
    </row>
    <row r="13" spans="1:6" x14ac:dyDescent="0.3">
      <c r="A13" s="25">
        <f t="shared" si="0"/>
        <v>8</v>
      </c>
      <c r="B13" s="25"/>
      <c r="C13" s="25"/>
      <c r="D13" s="25"/>
      <c r="E13" s="25"/>
      <c r="F13" s="25"/>
    </row>
    <row r="14" spans="1:6" x14ac:dyDescent="0.3">
      <c r="A14" s="25">
        <f t="shared" si="0"/>
        <v>9</v>
      </c>
      <c r="B14" s="25"/>
      <c r="C14" s="25"/>
      <c r="D14" s="25"/>
      <c r="E14" s="25"/>
      <c r="F14" s="25"/>
    </row>
    <row r="15" spans="1:6" x14ac:dyDescent="0.3">
      <c r="A15" s="25">
        <f t="shared" si="0"/>
        <v>10</v>
      </c>
      <c r="B15" s="25"/>
      <c r="C15" s="25"/>
      <c r="D15" s="25"/>
      <c r="E15" s="25"/>
      <c r="F15" s="25"/>
    </row>
    <row r="16" spans="1:6" x14ac:dyDescent="0.3">
      <c r="A16" s="25">
        <f t="shared" si="0"/>
        <v>11</v>
      </c>
      <c r="B16" s="25"/>
      <c r="C16" s="25"/>
      <c r="D16" s="25"/>
      <c r="E16" s="25"/>
      <c r="F16" s="25"/>
    </row>
    <row r="17" spans="1:6" x14ac:dyDescent="0.3">
      <c r="A17" s="25">
        <f t="shared" si="0"/>
        <v>12</v>
      </c>
      <c r="B17" s="25"/>
      <c r="C17" s="25"/>
      <c r="D17" s="25"/>
      <c r="E17" s="25"/>
      <c r="F17" s="25"/>
    </row>
    <row r="18" spans="1:6" x14ac:dyDescent="0.3">
      <c r="A18" s="25">
        <f t="shared" si="0"/>
        <v>13</v>
      </c>
      <c r="B18" s="25"/>
      <c r="C18" s="25"/>
      <c r="D18" s="25"/>
      <c r="E18" s="25"/>
      <c r="F18" s="25"/>
    </row>
    <row r="19" spans="1:6" x14ac:dyDescent="0.3">
      <c r="A19" s="25">
        <f t="shared" si="0"/>
        <v>14</v>
      </c>
      <c r="B19" s="25"/>
      <c r="C19" s="25"/>
      <c r="D19" s="25"/>
      <c r="E19" s="25"/>
      <c r="F19" s="25"/>
    </row>
    <row r="20" spans="1:6" x14ac:dyDescent="0.3">
      <c r="A20" s="25">
        <f t="shared" si="0"/>
        <v>15</v>
      </c>
      <c r="B20" s="25"/>
      <c r="C20" s="25"/>
      <c r="D20" s="25"/>
      <c r="E20" s="25"/>
      <c r="F20" s="25"/>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4" t="s">
        <v>26</v>
      </c>
    </row>
    <row r="3" spans="2:3" ht="27.75" customHeight="1" x14ac:dyDescent="0.3">
      <c r="B3" s="3" t="s">
        <v>383</v>
      </c>
    </row>
    <row r="5" spans="2:3" x14ac:dyDescent="0.3">
      <c r="B5" s="27" t="s">
        <v>384</v>
      </c>
      <c r="C5" s="7">
        <v>5</v>
      </c>
    </row>
    <row r="6" spans="2:3" x14ac:dyDescent="0.3">
      <c r="B6" s="27" t="s">
        <v>385</v>
      </c>
      <c r="C6" s="28">
        <v>290316</v>
      </c>
    </row>
    <row r="7" spans="2:3" x14ac:dyDescent="0.3">
      <c r="B7" s="27" t="s">
        <v>386</v>
      </c>
      <c r="C7" s="7">
        <v>71</v>
      </c>
    </row>
    <row r="8" spans="2:3" x14ac:dyDescent="0.3">
      <c r="B8" s="27" t="s">
        <v>387</v>
      </c>
      <c r="C8" s="7">
        <f>COUNTIF('3. Data Quality Log'!F6:F20,"Open")</f>
        <v>0</v>
      </c>
    </row>
    <row r="10" spans="2:3" ht="39.75" customHeight="1" x14ac:dyDescent="0.3">
      <c r="B10" s="5" t="s">
        <v>388</v>
      </c>
      <c r="C10" s="29" t="s">
        <v>389</v>
      </c>
    </row>
    <row r="11" spans="2:3" ht="39.75" customHeight="1" x14ac:dyDescent="0.3">
      <c r="B11" s="5" t="s">
        <v>390</v>
      </c>
      <c r="C11" s="29"/>
    </row>
    <row r="12" spans="2:3" ht="39.75" customHeight="1" x14ac:dyDescent="0.3">
      <c r="B12" s="5" t="s">
        <v>391</v>
      </c>
      <c r="C12" s="29" t="s">
        <v>392</v>
      </c>
    </row>
    <row r="13" spans="2:3" ht="39.75" customHeight="1" x14ac:dyDescent="0.3">
      <c r="B13" s="5" t="s">
        <v>393</v>
      </c>
      <c r="C13" s="29" t="s">
        <v>394</v>
      </c>
    </row>
    <row r="14" spans="2:3" ht="39.75" customHeight="1" x14ac:dyDescent="0.3">
      <c r="B14" s="5" t="s">
        <v>395</v>
      </c>
      <c r="C14" s="29"/>
    </row>
    <row r="16" spans="2:3" x14ac:dyDescent="0.3">
      <c r="B16" s="27" t="s">
        <v>396</v>
      </c>
      <c r="C16" s="30"/>
    </row>
    <row r="17" spans="2:3" x14ac:dyDescent="0.3">
      <c r="B17" s="27" t="s">
        <v>397</v>
      </c>
      <c r="C17" s="30"/>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ashfan</cp:lastModifiedBy>
  <cp:revision>0</cp:revision>
  <dcterms:created xsi:type="dcterms:W3CDTF">2026-08-03T06:53:21Z</dcterms:created>
  <dcterms:modified xsi:type="dcterms:W3CDTF">2026-08-20T18:03:27Z</dcterms:modified>
  <dc:language>en-US</dc:language>
</cp:coreProperties>
</file>